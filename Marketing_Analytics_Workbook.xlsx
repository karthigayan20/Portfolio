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Raw Data" sheetId="3" state="visible" r:id="rId5"/>
    <sheet name="Channel Summary" sheetId="4" state="visible" r:id="rId6"/>
    <sheet name="Monthly Trend" sheetId="5" state="visible" r:id="rId7"/>
    <sheet name="Reallocation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<sst xmlns="http://schemas.openxmlformats.org/spreadsheetml/2006/main" count="300" uniqueCount="141">
  <si>
    <t xml:space="preserve">Marketing Performance Model</t>
  </si>
  <si>
    <t xml:space="preserve">Author</t>
  </si>
  <si>
    <t xml:space="preserve">RP Karthigayan - karthickoffical2009@gmail.com</t>
  </si>
  <si>
    <t xml:space="preserve">Purpose</t>
  </si>
  <si>
    <t xml:space="preserve">Answer one question: where should the next marketing dollar go?</t>
  </si>
  <si>
    <t xml:space="preserve">Assumptions</t>
  </si>
  <si>
    <t xml:space="preserve">Every lever in the model. Blue cells are inputs; yellow are the ones that move it most.</t>
  </si>
  <si>
    <t xml:space="preserve">Raw Data</t>
  </si>
  <si>
    <t xml:space="preserve">72 rows: 6 channels x 12 months. The only sheet containing typed data.</t>
  </si>
  <si>
    <t xml:space="preserve">Channel Summary</t>
  </si>
  <si>
    <t xml:space="preserve">Per-channel CTR, CPC, CPL, CAC, ROAS, payback and share of spend vs share of customers.</t>
  </si>
  <si>
    <t xml:space="preserve">Monthly Trend</t>
  </si>
  <si>
    <t xml:space="preserve">Blended CAC and ROAS by month, with a seasonality read against the 12-month average.</t>
  </si>
  <si>
    <t xml:space="preserve">Reallocation Model</t>
  </si>
  <si>
    <t xml:space="preserve">Scenario: move 60% of the worst-CAC channel's budget to three cheaper channels at flat spend.</t>
  </si>
  <si>
    <t xml:space="preserve">How to use it</t>
  </si>
  <si>
    <t xml:space="preserve">Change Assumptions!B5 (average MRR) or B12 (share of budget moved) and every sheet recalculates.</t>
  </si>
  <si>
    <t xml:space="preserve">Data note</t>
  </si>
  <si>
    <t xml:space="preserve">This dataset is SIMULATED so the analysis can be published openly. The metric definitions and model structure are the ones used on real client data.</t>
  </si>
  <si>
    <t xml:space="preserve">Limits</t>
  </si>
  <si>
    <t xml:space="preserve">Last-touch attribution; first-year revenue rather than LTV; non-media 'spend' is production and commission cost so those CAC figures are not directly comparable with media CAC.</t>
  </si>
  <si>
    <t xml:space="preserve">Marketing Performance Model - Assumptions</t>
  </si>
  <si>
    <t xml:space="preserve">Edit only the blue cells. Yellow fill marks the assumptions that move the model most. Every other sheet references this one by cell, so nothing needs editing twice.</t>
  </si>
  <si>
    <t xml:space="preserve">Assumption</t>
  </si>
  <si>
    <t xml:space="preserve">Value</t>
  </si>
  <si>
    <t xml:space="preserve">Source / rationale</t>
  </si>
  <si>
    <t xml:space="preserve">Average MRR per customer</t>
  </si>
  <si>
    <t xml:space="preserve">Client-provided average plan price.</t>
  </si>
  <si>
    <t xml:space="preserve">Gross margin</t>
  </si>
  <si>
    <t xml:space="preserve">Used for payback only. Client finance estimate.</t>
  </si>
  <si>
    <t xml:space="preserve">Target CAC</t>
  </si>
  <si>
    <t xml:space="preserve">Planning threshold agreed with marketing lead.</t>
  </si>
  <si>
    <t xml:space="preserve">Target ROAS (first-year revenue / spend)</t>
  </si>
  <si>
    <t xml:space="preserve">Floor below which payback exceeds one quarter.</t>
  </si>
  <si>
    <t xml:space="preserve">Payback threshold (months)</t>
  </si>
  <si>
    <t xml:space="preserve">Above this a channel is reviewed for cuts.</t>
  </si>
  <si>
    <t xml:space="preserve">REALLOCATION LEVERS</t>
  </si>
  <si>
    <t xml:space="preserve">Share of worst-CAC channel budget to move</t>
  </si>
  <si>
    <t xml:space="preserve">Scenario lever. 100% would switch the channel off.</t>
  </si>
  <si>
    <t xml:space="preserve">Incremental CAC multiple - Partner / Agency</t>
  </si>
  <si>
    <t xml:space="preserve">Diminishing returns on the next dollar.</t>
  </si>
  <si>
    <t xml:space="preserve">Incremental CAC multiple - Email / Lifecycle</t>
  </si>
  <si>
    <t xml:space="preserve">Capacity-bound channel; next dollar is expensive.</t>
  </si>
  <si>
    <t xml:space="preserve">Incremental CAC multiple - SEO / Organic</t>
  </si>
  <si>
    <t xml:space="preserve">Content cost rises as keyword difficulty rises.</t>
  </si>
  <si>
    <t xml:space="preserve">Growth ceiling - Partner / Agency</t>
  </si>
  <si>
    <t xml:space="preserve">Max uplift on current customers within the year.</t>
  </si>
  <si>
    <t xml:space="preserve">Growth ceiling - Email / Lifecycle</t>
  </si>
  <si>
    <t xml:space="preserve">Limited by list size, not budget.</t>
  </si>
  <si>
    <t xml:space="preserve">Growth ceiling - SEO / Organic</t>
  </si>
  <si>
    <t xml:space="preserve">Two-quarter lag before compounding.</t>
  </si>
  <si>
    <t xml:space="preserve">Budget split to Partner / Agency</t>
  </si>
  <si>
    <t xml:space="preserve">Of the released budget.</t>
  </si>
  <si>
    <t xml:space="preserve">Budget split to Email / Lifecycle</t>
  </si>
  <si>
    <t xml:space="preserve">Budget split to SEO / Organic</t>
  </si>
  <si>
    <t xml:space="preserve">First-year revenue retention factor</t>
  </si>
  <si>
    <t xml:space="preserve">Churn adjustment: share of 12 months' MRR actually realised in year one.</t>
  </si>
  <si>
    <t xml:space="preserve">Data source: marketing_channel_performance.csv - a SIMULATED dataset built for portfolio publication. 72 rows, 6 channels x 12 months (Aug 2025 - Jul 2026).</t>
  </si>
  <si>
    <t xml:space="preserve">Month</t>
  </si>
  <si>
    <t xml:space="preserve">Channel</t>
  </si>
  <si>
    <t xml:space="preserve">Spend Usd</t>
  </si>
  <si>
    <t xml:space="preserve">Impressions</t>
  </si>
  <si>
    <t xml:space="preserve">Clicks</t>
  </si>
  <si>
    <t xml:space="preserve">Leads</t>
  </si>
  <si>
    <t xml:space="preserve">Qualified Leads</t>
  </si>
  <si>
    <t xml:space="preserve">New Customers</t>
  </si>
  <si>
    <t xml:space="preserve">New Mrr Usd</t>
  </si>
  <si>
    <t xml:space="preserve">First Year Revenue Usd</t>
  </si>
  <si>
    <t xml:space="preserve">2025-08</t>
  </si>
  <si>
    <t xml:space="preserve">Google Search Ads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</si>
  <si>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</si>
  <si>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</si>
  <si>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</si>
  <si>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</si>
  <si>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</si>
  <si>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</si>
  <si>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</si>
  <si>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</si>
  <si>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</si>
  <si>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</si>
  <si>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</si>
  <si>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Meta Ads</t>
  </si>
  <si>
    <t xml:space="preserve">LinkedIn Ads</t>
  </si>
  <si>
    <t xml:space="preserve">SEO / Organic</t>
  </si>
  <si>
    <t xml:space="preserve">Email / Lifecycle</t>
  </si>
  <si>
    <t xml:space="preserve">Partner / Agency</t>
  </si>
  <si>
    <t xml:space="preserve">Channel scorecard - full 12 months</t>
  </si>
  <si>
    <t xml:space="preserve">Every figure is a formula over Raw Data. Change a number there and this sheet moves. CPC is blank for non-media channels: their 'spend' is production and commission cost, so a cost-per-click would not mean anything.</t>
  </si>
  <si>
    <t xml:space="preserve">Spend</t>
  </si>
  <si>
    <t xml:space="preserve">Qualified</t>
  </si>
  <si>
    <t xml:space="preserve">Customers</t>
  </si>
  <si>
    <t xml:space="preserve">First-yr revenue</t>
  </si>
  <si>
    <t xml:space="preserve">CTR</t>
  </si>
  <si>
    <t xml:space="preserve">CPC</t>
  </si>
  <si>
    <t xml:space="preserve">CPL</t>
  </si>
  <si>
    <t xml:space="preserve">CAC</t>
  </si>
  <si>
    <t xml:space="preserve">Lead&gt;Cust</t>
  </si>
  <si>
    <t xml:space="preserve">ROAS</t>
  </si>
  <si>
    <t xml:space="preserve">Payback (mo)</t>
  </si>
  <si>
    <t xml:space="preserve">% of spend</t>
  </si>
  <si>
    <t xml:space="preserve">% of cust.</t>
  </si>
  <si>
    <t xml:space="preserve">Action</t>
  </si>
  <si>
    <t xml:space="preserve">All channels</t>
  </si>
  <si>
    <t xml:space="preserve">-</t>
  </si>
  <si>
    <t xml:space="preserve">Payback uses Assumptions!B5 (average MRR) and B6 (gross margin). Fully loaded CAC would additionally carry marketing headcount, which this dataset does not contain.</t>
  </si>
  <si>
    <t xml:space="preserve">Blended monthly trend</t>
  </si>
  <si>
    <t xml:space="preserve">Seasonality read: compare each month's blended CAC against the 12-month average in column H.</t>
  </si>
  <si>
    <t xml:space="preserve">Blended CAC</t>
  </si>
  <si>
    <t xml:space="preserve">Blended ROAS</t>
  </si>
  <si>
    <t xml:space="preserve">CAC vs avg</t>
  </si>
  <si>
    <t xml:space="preserve">3-mo rolling CAC</t>
  </si>
  <si>
    <t xml:space="preserve">Read</t>
  </si>
  <si>
    <t xml:space="preserve">Total / blended</t>
  </si>
  <si>
    <t xml:space="preserve">Reallocation scenario - flat total spend</t>
  </si>
  <si>
    <t xml:space="preserve">Moves budget out of the worst-CAC channel into three cheaper ones. Incremental CAC is set worse than current CAC, and each receiver is capped by a growth ceiling, so the model cannot assume cheap customers scale forever. All levers live on Assumptions.</t>
  </si>
  <si>
    <t xml:space="preserve">Source channel</t>
  </si>
  <si>
    <t xml:space="preserve">Worst-CAC channel</t>
  </si>
  <si>
    <t xml:space="preserve">Its current spend</t>
  </si>
  <si>
    <t xml:space="preserve">Its current CAC</t>
  </si>
  <si>
    <t xml:space="preserve">Budget released</t>
  </si>
  <si>
    <t xml:space="preserve">Customers lost</t>
  </si>
  <si>
    <t xml:space="preserve">Receiving channel</t>
  </si>
  <si>
    <t xml:space="preserve">Budget added</t>
  </si>
  <si>
    <t xml:space="preserve">Current CAC</t>
  </si>
  <si>
    <t xml:space="preserve">Inc. CAC multiple</t>
  </si>
  <si>
    <t xml:space="preserve">Incremental CAC</t>
  </si>
  <si>
    <t xml:space="preserve">Uncapped customers</t>
  </si>
  <si>
    <t xml:space="preserve">Growth ceiling</t>
  </si>
  <si>
    <t xml:space="preserve">Modelled customers</t>
  </si>
  <si>
    <t xml:space="preserve">Ceiling applied?</t>
  </si>
  <si>
    <t xml:space="preserve">Total gained</t>
  </si>
  <si>
    <t xml:space="preserve">Customers gained</t>
  </si>
  <si>
    <t xml:space="preserve">Customers lost from source channel</t>
  </si>
  <si>
    <t xml:space="preserve">NET NEW CUSTOMERS</t>
  </si>
  <si>
    <t xml:space="preserve">Net new MRR</t>
  </si>
  <si>
    <t xml:space="preserve">Net new first-year revenue</t>
  </si>
  <si>
    <t xml:space="preserve">Blended CAC before</t>
  </si>
  <si>
    <t xml:space="preserve">Blended CAC after (flat spend)</t>
  </si>
  <si>
    <t xml:space="preserve">CAC improvement</t>
  </si>
  <si>
    <t xml:space="preserve">Sanity check: total spend is unchanged, so any CAC improvement here comes from mix, not from a bigger budget.</t>
  </si>
  <si>
    <t xml:space="preserve">The source channel keeps 40% of its budget as a targeting test. In the funnel analysis its signups convert to paid at an above-average rate, so switching it off entirely would remove account quality this model does not price.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</si>
</sst>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\$#,##0;&quot;($&quot;#,##0\);\-"/>
    <numFmt numFmtId="168" formatCode="0.00\x"/>
    <numFmt numFmtId="169" formatCode="0.0"/>
    <numFmt numFmtId="170" formatCode="0.0\x"/>
    <numFmt numFmtId="171" formatCode="#,##0;\(#,##0\);\-"/>
    <numFmt numFmtId="172" formatCode="0.00%;\(0.00%\);\-"/>
    <numFmt numFmtId="173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02B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4202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4"/>
  </cols>
  <sheetData>
    <row r="1" customFormat="false" ht="18.5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/>
      <c r="B5" s="4"/>
    </row>
    <row r="6" customFormat="false" ht="30" hidden="false" customHeight="true" outlineLevel="0" collapsed="false">
      <c r="A6" s="2" t="s">
        <v>5</v>
      </c>
      <c r="B6" s="3" t="s">
        <v>6</v>
      </c>
    </row>
    <row r="7" customFormat="false" ht="30" hidden="false" customHeight="true" outlineLevel="0" collapsed="false">
      <c r="A7" s="2" t="s">
        <v>7</v>
      </c>
      <c r="B7" s="3" t="s">
        <v>8</v>
      </c>
    </row>
    <row r="8" customFormat="false" ht="30" hidden="false" customHeight="true" outlineLevel="0" collapsed="false">
      <c r="A8" s="2" t="s">
        <v>9</v>
      </c>
      <c r="B8" s="3" t="s">
        <v>10</v>
      </c>
    </row>
    <row r="9" customFormat="false" ht="30" hidden="false" customHeight="true" outlineLevel="0" collapsed="false">
      <c r="A9" s="2" t="s">
        <v>11</v>
      </c>
      <c r="B9" s="3" t="s">
        <v>12</v>
      </c>
    </row>
    <row r="10" customFormat="false" ht="30" hidden="false" customHeight="true" outlineLevel="0" collapsed="false">
      <c r="A10" s="2" t="s">
        <v>13</v>
      </c>
      <c r="B10" s="3" t="s">
        <v>14</v>
      </c>
    </row>
    <row r="11" customFormat="false" ht="30" hidden="false" customHeight="true" outlineLevel="0" collapsed="false">
      <c r="A11" s="2"/>
      <c r="B11" s="4"/>
    </row>
    <row r="12" customFormat="false" ht="30" hidden="false" customHeight="true" outlineLevel="0" collapsed="false">
      <c r="A12" s="2" t="s">
        <v>15</v>
      </c>
      <c r="B12" s="3" t="s">
        <v>16</v>
      </c>
    </row>
    <row r="13" customFormat="false" ht="30" hidden="false" customHeight="true" outlineLevel="0" collapsed="false">
      <c r="A13" s="2" t="s">
        <v>17</v>
      </c>
      <c r="B13" s="3" t="s">
        <v>18</v>
      </c>
    </row>
    <row r="14" customFormat="false" ht="30" hidden="false" customHeight="true" outlineLevel="0" collapsed="false">
      <c r="A14" s="2" t="s">
        <v>19</v>
      </c>
      <c r="B1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22</v>
      </c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25</v>
      </c>
    </row>
    <row r="5" customFormat="false" ht="15" hidden="false" customHeight="false" outlineLevel="0" collapsed="false">
      <c r="A5" s="8" t="s">
        <v>26</v>
      </c>
      <c r="B5" s="9" t="n">
        <v>149</v>
      </c>
      <c r="C5" s="6" t="s">
        <v>27</v>
      </c>
    </row>
    <row r="6" customFormat="false" ht="15" hidden="false" customHeight="false" outlineLevel="0" collapsed="false">
      <c r="A6" s="8" t="s">
        <v>28</v>
      </c>
      <c r="B6" s="10" t="n">
        <v>0.72</v>
      </c>
      <c r="C6" s="6" t="s">
        <v>29</v>
      </c>
    </row>
    <row r="7" customFormat="false" ht="15" hidden="false" customHeight="false" outlineLevel="0" collapsed="false">
      <c r="A7" s="8" t="s">
        <v>30</v>
      </c>
      <c r="B7" s="11" t="n">
        <v>250</v>
      </c>
      <c r="C7" s="6" t="s">
        <v>31</v>
      </c>
    </row>
    <row r="8" customFormat="false" ht="15" hidden="false" customHeight="false" outlineLevel="0" collapsed="false">
      <c r="A8" s="8" t="s">
        <v>32</v>
      </c>
      <c r="B8" s="12" t="n">
        <v>5</v>
      </c>
      <c r="C8" s="6" t="s">
        <v>33</v>
      </c>
    </row>
    <row r="9" customFormat="false" ht="15" hidden="false" customHeight="false" outlineLevel="0" collapsed="false">
      <c r="A9" s="8" t="s">
        <v>34</v>
      </c>
      <c r="B9" s="13" t="n">
        <v>6</v>
      </c>
      <c r="C9" s="6" t="s">
        <v>35</v>
      </c>
    </row>
    <row r="10" customFormat="false" ht="15" hidden="false" customHeight="false" outlineLevel="0" collapsed="false">
      <c r="A10" s="8"/>
      <c r="C10" s="6"/>
    </row>
    <row r="11" customFormat="false" ht="15" hidden="false" customHeight="false" outlineLevel="0" collapsed="false">
      <c r="A11" s="2" t="s">
        <v>36</v>
      </c>
      <c r="C11" s="6"/>
    </row>
    <row r="12" customFormat="false" ht="15" hidden="false" customHeight="false" outlineLevel="0" collapsed="false">
      <c r="A12" s="8" t="s">
        <v>37</v>
      </c>
      <c r="B12" s="10" t="n">
        <v>0.6</v>
      </c>
      <c r="C12" s="6" t="s">
        <v>38</v>
      </c>
    </row>
    <row r="13" customFormat="false" ht="15" hidden="false" customHeight="false" outlineLevel="0" collapsed="false">
      <c r="A13" s="8" t="s">
        <v>39</v>
      </c>
      <c r="B13" s="14" t="n">
        <v>2.5</v>
      </c>
      <c r="C13" s="6" t="s">
        <v>40</v>
      </c>
    </row>
    <row r="14" customFormat="false" ht="15" hidden="false" customHeight="false" outlineLevel="0" collapsed="false">
      <c r="A14" s="8" t="s">
        <v>41</v>
      </c>
      <c r="B14" s="14" t="n">
        <v>3.6</v>
      </c>
      <c r="C14" s="6" t="s">
        <v>42</v>
      </c>
    </row>
    <row r="15" customFormat="false" ht="15" hidden="false" customHeight="false" outlineLevel="0" collapsed="false">
      <c r="A15" s="8" t="s">
        <v>43</v>
      </c>
      <c r="B15" s="14" t="n">
        <v>3</v>
      </c>
      <c r="C15" s="6" t="s">
        <v>44</v>
      </c>
    </row>
    <row r="16" customFormat="false" ht="15" hidden="false" customHeight="false" outlineLevel="0" collapsed="false">
      <c r="A16" s="8" t="s">
        <v>45</v>
      </c>
      <c r="B16" s="15" t="n">
        <v>0.35</v>
      </c>
      <c r="C16" s="6" t="s">
        <v>46</v>
      </c>
    </row>
    <row r="17" customFormat="false" ht="15" hidden="false" customHeight="false" outlineLevel="0" collapsed="false">
      <c r="A17" s="8" t="s">
        <v>47</v>
      </c>
      <c r="B17" s="15" t="n">
        <v>0.15</v>
      </c>
      <c r="C17" s="6" t="s">
        <v>48</v>
      </c>
    </row>
    <row r="18" customFormat="false" ht="15" hidden="false" customHeight="false" outlineLevel="0" collapsed="false">
      <c r="A18" s="8" t="s">
        <v>49</v>
      </c>
      <c r="B18" s="15" t="n">
        <v>0.2</v>
      </c>
      <c r="C18" s="6" t="s">
        <v>50</v>
      </c>
    </row>
    <row r="19" customFormat="false" ht="15" hidden="false" customHeight="false" outlineLevel="0" collapsed="false">
      <c r="A19" s="8" t="s">
        <v>51</v>
      </c>
      <c r="B19" s="15" t="n">
        <v>0.6</v>
      </c>
      <c r="C19" s="6" t="s">
        <v>52</v>
      </c>
    </row>
    <row r="20" customFormat="false" ht="15" hidden="false" customHeight="false" outlineLevel="0" collapsed="false">
      <c r="A20" s="8" t="s">
        <v>53</v>
      </c>
      <c r="B20" s="15" t="n">
        <v>0.15</v>
      </c>
      <c r="C20" s="6" t="s">
        <v>52</v>
      </c>
    </row>
    <row r="21" customFormat="false" ht="15" hidden="false" customHeight="false" outlineLevel="0" collapsed="false">
      <c r="A21" s="8" t="s">
        <v>54</v>
      </c>
      <c r="B21" s="15" t="n">
        <v>0.25</v>
      </c>
      <c r="C21" s="6" t="s">
        <v>52</v>
      </c>
    </row>
    <row r="22" customFormat="false" ht="15" hidden="false" customHeight="false" outlineLevel="0" collapsed="false">
      <c r="A22" s="8" t="s">
        <v>55</v>
      </c>
      <c r="B22" s="15" t="n">
        <v>0.88</v>
      </c>
      <c r="C22" s="6" t="s">
        <v>56</v>
      </c>
    </row>
    <row r="24" customFormat="false" ht="15" hidden="false" customHeight="false" outlineLevel="0" collapsed="false">
      <c r="A24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</row>
    <row r="2" customFormat="false" ht="15" hidden="false" customHeight="false" outlineLevel="0" collapsed="false">
      <c r="A2" s="8" t="s">
        <v>68</v>
      </c>
      <c r="B2" s="8" t="s">
        <v>69</v>
      </c>
      <c r="C2" s="17" t="n">
        <v>18887.35</v>
      </c>
      <c r="D2" s="18" t="n">
        <v>102814</v>
      </c>
      <c r="E2" s="18" t="n">
        <v>4247</v>
      </c>
      <c r="F2" s="18" t="n">
        <v>402</v>
      </c>
      <c r="G2" s="18" t="n">
        <v>222</v>
      </c>
      <c r="H2" s="18" t="n">
        <v>43</v>
      </c>
      <c r="I2" s="17" t="n">
        <v>6838.74</v>
      </c>
      <c r="J2" s="17" t="n">
        <v>71986.3</v>
      </c>
    </row>
    <row r="3" customFormat="false" ht="15" hidden="false" customHeight="false" outlineLevel="0" collapsed="false">
      <c r="A3" s="8" t="s">
        <v>70</v>
      </c>
      <c r="B3" s="8" t="s">
        <v>69</v>
      </c>
      <c r="C3" s="17" t="n">
        <v>20782.71</v>
      </c>
      <c r="D3" s="18" t="n">
        <v>123682</v>
      </c>
      <c r="E3" s="18" t="n">
        <v>4980</v>
      </c>
      <c r="F3" s="18" t="n">
        <v>394</v>
      </c>
      <c r="G3" s="18" t="n">
        <v>210</v>
      </c>
      <c r="H3" s="18" t="n">
        <v>60</v>
      </c>
      <c r="I3" s="17" t="n">
        <v>8838.34</v>
      </c>
      <c r="J3" s="17" t="n">
        <v>94901.45</v>
      </c>
    </row>
    <row r="4" customFormat="false" ht="15" hidden="false" customHeight="false" outlineLevel="0" collapsed="false">
      <c r="A4" s="8" t="s">
        <v>71</v>
      </c>
      <c r="B4" s="8" t="s">
        <v>69</v>
      </c>
      <c r="C4" s="17" t="n">
        <v>19880.3</v>
      </c>
      <c r="D4" s="18" t="n">
        <v>136525</v>
      </c>
      <c r="E4" s="18" t="n">
        <v>5413</v>
      </c>
      <c r="F4" s="18" t="n">
        <v>441</v>
      </c>
      <c r="G4" s="18" t="n">
        <v>230</v>
      </c>
      <c r="H4" s="18" t="n">
        <v>53</v>
      </c>
      <c r="I4" s="17" t="n">
        <v>8091.52</v>
      </c>
      <c r="J4" s="17" t="n">
        <v>89965.92</v>
      </c>
    </row>
    <row r="5" customFormat="false" ht="15" hidden="false" customHeight="false" outlineLevel="0" collapsed="false">
      <c r="A5" s="8" t="s">
        <v>72</v>
      </c>
      <c r="B5" s="8" t="s">
        <v>69</v>
      </c>
      <c r="C5" s="17" t="n">
        <v>19136.11</v>
      </c>
      <c r="D5" s="18" t="n">
        <v>123172</v>
      </c>
      <c r="E5" s="18" t="n">
        <v>5372</v>
      </c>
      <c r="F5" s="18" t="n">
        <v>448</v>
      </c>
      <c r="G5" s="18" t="n">
        <v>235</v>
      </c>
      <c r="H5" s="18" t="n">
        <v>54</v>
      </c>
      <c r="I5" s="17" t="n">
        <v>8088.04</v>
      </c>
      <c r="J5" s="17" t="n">
        <v>91177.33</v>
      </c>
    </row>
    <row r="6" customFormat="false" ht="15" hidden="false" customHeight="false" outlineLevel="0" collapsed="false">
      <c r="A6" s="8" t="s">
        <v>73</v>
      </c>
      <c r="B6" s="8" t="s">
        <v>69</v>
      </c>
      <c r="C6" s="17" t="n">
        <v>20703.33</v>
      </c>
      <c r="D6" s="18" t="n">
        <v>142451</v>
      </c>
      <c r="E6" s="18" t="n">
        <v>4953</v>
      </c>
      <c r="F6" s="18" t="n">
        <v>330</v>
      </c>
      <c r="G6" s="18" t="n">
        <v>168</v>
      </c>
      <c r="H6" s="18" t="n">
        <v>40</v>
      </c>
      <c r="I6" s="17" t="n">
        <v>5835.35</v>
      </c>
      <c r="J6" s="17" t="n">
        <v>60272.56</v>
      </c>
    </row>
    <row r="7" customFormat="false" ht="15" hidden="false" customHeight="false" outlineLevel="0" collapsed="false">
      <c r="A7" s="8" t="s">
        <v>74</v>
      </c>
      <c r="B7" s="8" t="s">
        <v>69</v>
      </c>
      <c r="C7" s="17" t="n">
        <v>19450.23</v>
      </c>
      <c r="D7" s="18" t="n">
        <v>105282</v>
      </c>
      <c r="E7" s="18" t="n">
        <v>4566</v>
      </c>
      <c r="F7" s="18" t="n">
        <v>372</v>
      </c>
      <c r="G7" s="18" t="n">
        <v>187</v>
      </c>
      <c r="H7" s="18" t="n">
        <v>50</v>
      </c>
      <c r="I7" s="17" t="n">
        <v>7941.37</v>
      </c>
      <c r="J7" s="17" t="n">
        <v>89817.89</v>
      </c>
    </row>
    <row r="8" customFormat="false" ht="15" hidden="false" customHeight="false" outlineLevel="0" collapsed="false">
      <c r="A8" s="8" t="s">
        <v>75</v>
      </c>
      <c r="B8" s="8" t="s">
        <v>69</v>
      </c>
      <c r="C8" s="17" t="n">
        <v>19224.93</v>
      </c>
      <c r="D8" s="18" t="n">
        <v>127829</v>
      </c>
      <c r="E8" s="18" t="n">
        <v>4939</v>
      </c>
      <c r="F8" s="18" t="n">
        <v>410</v>
      </c>
      <c r="G8" s="18" t="n">
        <v>207</v>
      </c>
      <c r="H8" s="18" t="n">
        <v>53</v>
      </c>
      <c r="I8" s="17" t="n">
        <v>7959.38</v>
      </c>
      <c r="J8" s="17" t="n">
        <v>89103.79</v>
      </c>
    </row>
    <row r="9" customFormat="false" ht="15" hidden="false" customHeight="false" outlineLevel="0" collapsed="false">
      <c r="A9" s="8" t="s">
        <v>76</v>
      </c>
      <c r="B9" s="8" t="s">
        <v>69</v>
      </c>
      <c r="C9" s="17" t="n">
        <v>17671.14</v>
      </c>
      <c r="D9" s="18" t="n">
        <v>126140</v>
      </c>
      <c r="E9" s="18" t="n">
        <v>4174</v>
      </c>
      <c r="F9" s="18" t="n">
        <v>332</v>
      </c>
      <c r="G9" s="18" t="n">
        <v>179</v>
      </c>
      <c r="H9" s="18" t="n">
        <v>41</v>
      </c>
      <c r="I9" s="17" t="n">
        <v>6500.34</v>
      </c>
      <c r="J9" s="17" t="n">
        <v>70606.13</v>
      </c>
    </row>
    <row r="10" customFormat="false" ht="15" hidden="false" customHeight="false" outlineLevel="0" collapsed="false">
      <c r="A10" s="8" t="s">
        <v>77</v>
      </c>
      <c r="B10" s="8" t="s">
        <v>69</v>
      </c>
      <c r="C10" s="17" t="n">
        <v>17983.38</v>
      </c>
      <c r="D10" s="18" t="n">
        <v>102166</v>
      </c>
      <c r="E10" s="18" t="n">
        <v>3911</v>
      </c>
      <c r="F10" s="18" t="n">
        <v>349</v>
      </c>
      <c r="G10" s="18" t="n">
        <v>152</v>
      </c>
      <c r="H10" s="18" t="n">
        <v>44</v>
      </c>
      <c r="I10" s="17" t="n">
        <v>6403.32</v>
      </c>
      <c r="J10" s="17" t="n">
        <v>68848.93</v>
      </c>
    </row>
    <row r="11" customFormat="false" ht="15" hidden="false" customHeight="false" outlineLevel="0" collapsed="false">
      <c r="A11" s="8" t="s">
        <v>78</v>
      </c>
      <c r="B11" s="8" t="s">
        <v>69</v>
      </c>
      <c r="C11" s="17" t="n">
        <v>19004.72</v>
      </c>
      <c r="D11" s="18" t="n">
        <v>106245</v>
      </c>
      <c r="E11" s="18" t="n">
        <v>4503</v>
      </c>
      <c r="F11" s="18" t="n">
        <v>392</v>
      </c>
      <c r="G11" s="18" t="n">
        <v>202</v>
      </c>
      <c r="H11" s="18" t="n">
        <v>47</v>
      </c>
      <c r="I11" s="17" t="n">
        <v>6488.01</v>
      </c>
      <c r="J11" s="17" t="n">
        <v>67940.32</v>
      </c>
    </row>
    <row r="12" customFormat="false" ht="15" hidden="false" customHeight="false" outlineLevel="0" collapsed="false">
      <c r="A12" s="8" t="s">
        <v>79</v>
      </c>
      <c r="B12" s="8" t="s">
        <v>69</v>
      </c>
      <c r="C12" s="17" t="n">
        <v>22812.91</v>
      </c>
      <c r="D12" s="18" t="n">
        <v>144902</v>
      </c>
      <c r="E12" s="18" t="n">
        <v>5903</v>
      </c>
      <c r="F12" s="18" t="n">
        <v>445</v>
      </c>
      <c r="G12" s="18" t="n">
        <v>236</v>
      </c>
      <c r="H12" s="18" t="n">
        <v>61</v>
      </c>
      <c r="I12" s="17" t="n">
        <v>9198.78</v>
      </c>
      <c r="J12" s="17" t="n">
        <v>101067.54</v>
      </c>
    </row>
    <row r="13" customFormat="false" ht="15" hidden="false" customHeight="false" outlineLevel="0" collapsed="false">
      <c r="A13" s="8" t="s">
        <v>80</v>
      </c>
      <c r="B13" s="8" t="s">
        <v>69</v>
      </c>
      <c r="C13" s="17" t="n">
        <v>22241.61</v>
      </c>
      <c r="D13" s="18" t="n">
        <v>159973</v>
      </c>
      <c r="E13" s="18" t="n">
        <v>5590</v>
      </c>
      <c r="F13" s="18" t="n">
        <v>527</v>
      </c>
      <c r="G13" s="18" t="n">
        <v>236</v>
      </c>
      <c r="H13" s="18" t="n">
        <v>77</v>
      </c>
      <c r="I13" s="17" t="n">
        <v>11298.5</v>
      </c>
      <c r="J13" s="17" t="n">
        <v>119635.8</v>
      </c>
    </row>
    <row r="14" customFormat="false" ht="15" hidden="false" customHeight="false" outlineLevel="0" collapsed="false">
      <c r="A14" s="8" t="s">
        <v>68</v>
      </c>
      <c r="B14" s="8" t="s">
        <v>81</v>
      </c>
      <c r="C14" s="17" t="n">
        <v>16972.92</v>
      </c>
      <c r="D14" s="18" t="n">
        <v>889141</v>
      </c>
      <c r="E14" s="18" t="n">
        <v>12240</v>
      </c>
      <c r="F14" s="18" t="n">
        <v>639</v>
      </c>
      <c r="G14" s="18" t="n">
        <v>347</v>
      </c>
      <c r="H14" s="18" t="n">
        <v>48</v>
      </c>
      <c r="I14" s="17" t="n">
        <v>7257.19</v>
      </c>
      <c r="J14" s="17" t="n">
        <v>79610.24</v>
      </c>
    </row>
    <row r="15" customFormat="false" ht="15" hidden="false" customHeight="false" outlineLevel="0" collapsed="false">
      <c r="A15" s="8" t="s">
        <v>70</v>
      </c>
      <c r="B15" s="8" t="s">
        <v>81</v>
      </c>
      <c r="C15" s="17" t="n">
        <v>17553.17</v>
      </c>
      <c r="D15" s="18" t="n">
        <v>1069743</v>
      </c>
      <c r="E15" s="18" t="n">
        <v>13210</v>
      </c>
      <c r="F15" s="18" t="n">
        <v>635</v>
      </c>
      <c r="G15" s="18" t="n">
        <v>292</v>
      </c>
      <c r="H15" s="18" t="n">
        <v>47</v>
      </c>
      <c r="I15" s="17" t="n">
        <v>6809.97</v>
      </c>
      <c r="J15" s="17" t="n">
        <v>69678.79</v>
      </c>
    </row>
    <row r="16" customFormat="false" ht="15" hidden="false" customHeight="false" outlineLevel="0" collapsed="false">
      <c r="A16" s="8" t="s">
        <v>71</v>
      </c>
      <c r="B16" s="8" t="s">
        <v>81</v>
      </c>
      <c r="C16" s="17" t="n">
        <v>16519.37</v>
      </c>
      <c r="D16" s="18" t="n">
        <v>816135</v>
      </c>
      <c r="E16" s="18" t="n">
        <v>11716</v>
      </c>
      <c r="F16" s="18" t="n">
        <v>599</v>
      </c>
      <c r="G16" s="18" t="n">
        <v>299</v>
      </c>
      <c r="H16" s="18" t="n">
        <v>41</v>
      </c>
      <c r="I16" s="17" t="n">
        <v>6167.49</v>
      </c>
      <c r="J16" s="17" t="n">
        <v>66374.49</v>
      </c>
    </row>
    <row r="17" customFormat="false" ht="15" hidden="false" customHeight="false" outlineLevel="0" collapsed="false">
      <c r="A17" s="8" t="s">
        <v>72</v>
      </c>
      <c r="B17" s="8" t="s">
        <v>81</v>
      </c>
      <c r="C17" s="17" t="n">
        <v>17069.01</v>
      </c>
      <c r="D17" s="18" t="n">
        <v>914606</v>
      </c>
      <c r="E17" s="18" t="n">
        <v>12151</v>
      </c>
      <c r="F17" s="18" t="n">
        <v>688</v>
      </c>
      <c r="G17" s="18" t="n">
        <v>315</v>
      </c>
      <c r="H17" s="18" t="n">
        <v>45</v>
      </c>
      <c r="I17" s="17" t="n">
        <v>6924.32</v>
      </c>
      <c r="J17" s="17" t="n">
        <v>76492.81</v>
      </c>
    </row>
    <row r="18" customFormat="false" ht="15" hidden="false" customHeight="false" outlineLevel="0" collapsed="false">
      <c r="A18" s="8" t="s">
        <v>73</v>
      </c>
      <c r="B18" s="8" t="s">
        <v>81</v>
      </c>
      <c r="C18" s="17" t="n">
        <v>14971.2</v>
      </c>
      <c r="D18" s="18" t="n">
        <v>824688</v>
      </c>
      <c r="E18" s="18" t="n">
        <v>10858</v>
      </c>
      <c r="F18" s="18" t="n">
        <v>563</v>
      </c>
      <c r="G18" s="18" t="n">
        <v>262</v>
      </c>
      <c r="H18" s="18" t="n">
        <v>41</v>
      </c>
      <c r="I18" s="17" t="n">
        <v>5953.06</v>
      </c>
      <c r="J18" s="17" t="n">
        <v>60798.65</v>
      </c>
    </row>
    <row r="19" customFormat="false" ht="15" hidden="false" customHeight="false" outlineLevel="0" collapsed="false">
      <c r="A19" s="8" t="s">
        <v>74</v>
      </c>
      <c r="B19" s="8" t="s">
        <v>81</v>
      </c>
      <c r="C19" s="17" t="n">
        <v>14354.44</v>
      </c>
      <c r="D19" s="18" t="n">
        <v>922183</v>
      </c>
      <c r="E19" s="18" t="n">
        <v>11665</v>
      </c>
      <c r="F19" s="18" t="n">
        <v>640</v>
      </c>
      <c r="G19" s="18" t="n">
        <v>324</v>
      </c>
      <c r="H19" s="18" t="n">
        <v>50</v>
      </c>
      <c r="I19" s="17" t="n">
        <v>7322.62</v>
      </c>
      <c r="J19" s="17" t="n">
        <v>81719.81</v>
      </c>
    </row>
    <row r="20" customFormat="false" ht="15" hidden="false" customHeight="false" outlineLevel="0" collapsed="false">
      <c r="A20" s="8" t="s">
        <v>75</v>
      </c>
      <c r="B20" s="8" t="s">
        <v>81</v>
      </c>
      <c r="C20" s="17" t="n">
        <v>13464.8</v>
      </c>
      <c r="D20" s="18" t="n">
        <v>924764</v>
      </c>
      <c r="E20" s="18" t="n">
        <v>10755</v>
      </c>
      <c r="F20" s="18" t="n">
        <v>497</v>
      </c>
      <c r="G20" s="18" t="n">
        <v>252</v>
      </c>
      <c r="H20" s="18" t="n">
        <v>41</v>
      </c>
      <c r="I20" s="17" t="n">
        <v>6332.31</v>
      </c>
      <c r="J20" s="17" t="n">
        <v>69293.99</v>
      </c>
    </row>
    <row r="21" customFormat="false" ht="15" hidden="false" customHeight="false" outlineLevel="0" collapsed="false">
      <c r="A21" s="8" t="s">
        <v>76</v>
      </c>
      <c r="B21" s="8" t="s">
        <v>81</v>
      </c>
      <c r="C21" s="17" t="n">
        <v>11966.88</v>
      </c>
      <c r="D21" s="18" t="n">
        <v>636673</v>
      </c>
      <c r="E21" s="18" t="n">
        <v>9776</v>
      </c>
      <c r="F21" s="18" t="n">
        <v>486</v>
      </c>
      <c r="G21" s="18" t="n">
        <v>238</v>
      </c>
      <c r="H21" s="18" t="n">
        <v>40</v>
      </c>
      <c r="I21" s="17" t="n">
        <v>5905.66</v>
      </c>
      <c r="J21" s="17" t="n">
        <v>60993.09</v>
      </c>
    </row>
    <row r="22" customFormat="false" ht="15" hidden="false" customHeight="false" outlineLevel="0" collapsed="false">
      <c r="A22" s="8" t="s">
        <v>77</v>
      </c>
      <c r="B22" s="8" t="s">
        <v>81</v>
      </c>
      <c r="C22" s="17" t="n">
        <v>13515.57</v>
      </c>
      <c r="D22" s="18" t="n">
        <v>744089</v>
      </c>
      <c r="E22" s="18" t="n">
        <v>10809</v>
      </c>
      <c r="F22" s="18" t="n">
        <v>535</v>
      </c>
      <c r="G22" s="18" t="n">
        <v>295</v>
      </c>
      <c r="H22" s="18" t="n">
        <v>36</v>
      </c>
      <c r="I22" s="17" t="n">
        <v>5602.54</v>
      </c>
      <c r="J22" s="17" t="n">
        <v>63309.74</v>
      </c>
    </row>
    <row r="23" customFormat="false" ht="15" hidden="false" customHeight="false" outlineLevel="0" collapsed="false">
      <c r="A23" s="8" t="s">
        <v>78</v>
      </c>
      <c r="B23" s="8" t="s">
        <v>81</v>
      </c>
      <c r="C23" s="17" t="n">
        <v>16047.47</v>
      </c>
      <c r="D23" s="18" t="n">
        <v>783604</v>
      </c>
      <c r="E23" s="18" t="n">
        <v>10767</v>
      </c>
      <c r="F23" s="18" t="n">
        <v>612</v>
      </c>
      <c r="G23" s="18" t="n">
        <v>300</v>
      </c>
      <c r="H23" s="18" t="n">
        <v>46</v>
      </c>
      <c r="I23" s="17" t="n">
        <v>5963.68</v>
      </c>
      <c r="J23" s="17" t="n">
        <v>60621.36</v>
      </c>
    </row>
    <row r="24" customFormat="false" ht="15" hidden="false" customHeight="false" outlineLevel="0" collapsed="false">
      <c r="A24" s="8" t="s">
        <v>79</v>
      </c>
      <c r="B24" s="8" t="s">
        <v>81</v>
      </c>
      <c r="C24" s="17" t="n">
        <v>17741.93</v>
      </c>
      <c r="D24" s="18" t="n">
        <v>965316</v>
      </c>
      <c r="E24" s="18" t="n">
        <v>14748</v>
      </c>
      <c r="F24" s="18" t="n">
        <v>700</v>
      </c>
      <c r="G24" s="18" t="n">
        <v>336</v>
      </c>
      <c r="H24" s="18" t="n">
        <v>47</v>
      </c>
      <c r="I24" s="17" t="n">
        <v>7447.48</v>
      </c>
      <c r="J24" s="17" t="n">
        <v>84624.72</v>
      </c>
    </row>
    <row r="25" customFormat="false" ht="15" hidden="false" customHeight="false" outlineLevel="0" collapsed="false">
      <c r="A25" s="8" t="s">
        <v>80</v>
      </c>
      <c r="B25" s="8" t="s">
        <v>81</v>
      </c>
      <c r="C25" s="17" t="n">
        <v>20325.7</v>
      </c>
      <c r="D25" s="18" t="n">
        <v>1193597</v>
      </c>
      <c r="E25" s="18" t="n">
        <v>17230</v>
      </c>
      <c r="F25" s="18" t="n">
        <v>938</v>
      </c>
      <c r="G25" s="18" t="n">
        <v>443</v>
      </c>
      <c r="H25" s="18" t="n">
        <v>57</v>
      </c>
      <c r="I25" s="17" t="n">
        <v>8591.67</v>
      </c>
      <c r="J25" s="17" t="n">
        <v>96652.69</v>
      </c>
    </row>
    <row r="26" customFormat="false" ht="15" hidden="false" customHeight="false" outlineLevel="0" collapsed="false">
      <c r="A26" s="8" t="s">
        <v>68</v>
      </c>
      <c r="B26" s="8" t="s">
        <v>82</v>
      </c>
      <c r="C26" s="17" t="n">
        <v>10077.74</v>
      </c>
      <c r="D26" s="18" t="n">
        <v>202331</v>
      </c>
      <c r="E26" s="18" t="n">
        <v>1057</v>
      </c>
      <c r="F26" s="18" t="n">
        <v>69</v>
      </c>
      <c r="G26" s="18" t="n">
        <v>35</v>
      </c>
      <c r="H26" s="18" t="n">
        <v>11</v>
      </c>
      <c r="I26" s="17" t="n">
        <v>1674.4</v>
      </c>
      <c r="J26" s="17" t="n">
        <v>17183.87</v>
      </c>
    </row>
    <row r="27" customFormat="false" ht="15" hidden="false" customHeight="false" outlineLevel="0" collapsed="false">
      <c r="A27" s="8" t="s">
        <v>70</v>
      </c>
      <c r="B27" s="8" t="s">
        <v>82</v>
      </c>
      <c r="C27" s="17" t="n">
        <v>10567.64</v>
      </c>
      <c r="D27" s="18" t="n">
        <v>226537</v>
      </c>
      <c r="E27" s="18" t="n">
        <v>1262</v>
      </c>
      <c r="F27" s="18" t="n">
        <v>80</v>
      </c>
      <c r="G27" s="18" t="n">
        <v>42</v>
      </c>
      <c r="H27" s="18" t="n">
        <v>17</v>
      </c>
      <c r="I27" s="17" t="n">
        <v>2439.92</v>
      </c>
      <c r="J27" s="17" t="n">
        <v>24328.8</v>
      </c>
    </row>
    <row r="28" customFormat="false" ht="15" hidden="false" customHeight="false" outlineLevel="0" collapsed="false">
      <c r="A28" s="8" t="s">
        <v>71</v>
      </c>
      <c r="B28" s="8" t="s">
        <v>82</v>
      </c>
      <c r="C28" s="17" t="n">
        <v>9916.71</v>
      </c>
      <c r="D28" s="18" t="n">
        <v>211758</v>
      </c>
      <c r="E28" s="18" t="n">
        <v>1259</v>
      </c>
      <c r="F28" s="18" t="n">
        <v>70</v>
      </c>
      <c r="G28" s="18" t="n">
        <v>33</v>
      </c>
      <c r="H28" s="18" t="n">
        <v>9</v>
      </c>
      <c r="I28" s="17" t="n">
        <v>1508.83</v>
      </c>
      <c r="J28" s="17" t="n">
        <v>16825.78</v>
      </c>
    </row>
    <row r="29" customFormat="false" ht="15" hidden="false" customHeight="false" outlineLevel="0" collapsed="false">
      <c r="A29" s="8" t="s">
        <v>72</v>
      </c>
      <c r="B29" s="8" t="s">
        <v>82</v>
      </c>
      <c r="C29" s="17" t="n">
        <v>9794.78</v>
      </c>
      <c r="D29" s="18" t="n">
        <v>153374</v>
      </c>
      <c r="E29" s="18" t="n">
        <v>1047</v>
      </c>
      <c r="F29" s="18" t="n">
        <v>60</v>
      </c>
      <c r="G29" s="18" t="n">
        <v>32</v>
      </c>
      <c r="H29" s="18" t="n">
        <v>8</v>
      </c>
      <c r="I29" s="17" t="n">
        <v>1133.79</v>
      </c>
      <c r="J29" s="17" t="n">
        <v>11319</v>
      </c>
    </row>
    <row r="30" customFormat="false" ht="15" hidden="false" customHeight="false" outlineLevel="0" collapsed="false">
      <c r="A30" s="8" t="s">
        <v>73</v>
      </c>
      <c r="B30" s="8" t="s">
        <v>82</v>
      </c>
      <c r="C30" s="17" t="n">
        <v>9988.16</v>
      </c>
      <c r="D30" s="18" t="n">
        <v>196475</v>
      </c>
      <c r="E30" s="18" t="n">
        <v>1154</v>
      </c>
      <c r="F30" s="18" t="n">
        <v>64</v>
      </c>
      <c r="G30" s="18" t="n">
        <v>33</v>
      </c>
      <c r="H30" s="18" t="n">
        <v>10</v>
      </c>
      <c r="I30" s="17" t="n">
        <v>1512.94</v>
      </c>
      <c r="J30" s="17" t="n">
        <v>15430.01</v>
      </c>
    </row>
    <row r="31" customFormat="false" ht="15" hidden="false" customHeight="false" outlineLevel="0" collapsed="false">
      <c r="A31" s="8" t="s">
        <v>74</v>
      </c>
      <c r="B31" s="8" t="s">
        <v>82</v>
      </c>
      <c r="C31" s="17" t="n">
        <v>8382.32</v>
      </c>
      <c r="D31" s="18" t="n">
        <v>158734</v>
      </c>
      <c r="E31" s="18" t="n">
        <v>960</v>
      </c>
      <c r="F31" s="18" t="n">
        <v>59</v>
      </c>
      <c r="G31" s="18" t="n">
        <v>32</v>
      </c>
      <c r="H31" s="18" t="n">
        <v>8</v>
      </c>
      <c r="I31" s="17" t="n">
        <v>1136.57</v>
      </c>
      <c r="J31" s="17" t="n">
        <v>11903.41</v>
      </c>
    </row>
    <row r="32" customFormat="false" ht="15" hidden="false" customHeight="false" outlineLevel="0" collapsed="false">
      <c r="A32" s="8" t="s">
        <v>75</v>
      </c>
      <c r="B32" s="8" t="s">
        <v>82</v>
      </c>
      <c r="C32" s="17" t="n">
        <v>9591.35</v>
      </c>
      <c r="D32" s="18" t="n">
        <v>164947</v>
      </c>
      <c r="E32" s="18" t="n">
        <v>1163</v>
      </c>
      <c r="F32" s="18" t="n">
        <v>74</v>
      </c>
      <c r="G32" s="18" t="n">
        <v>35</v>
      </c>
      <c r="H32" s="18" t="n">
        <v>9</v>
      </c>
      <c r="I32" s="17" t="n">
        <v>1484.64</v>
      </c>
      <c r="J32" s="17" t="n">
        <v>14743.7</v>
      </c>
    </row>
    <row r="33" customFormat="false" ht="15" hidden="false" customHeight="false" outlineLevel="0" collapsed="false">
      <c r="A33" s="8" t="s">
        <v>76</v>
      </c>
      <c r="B33" s="8" t="s">
        <v>82</v>
      </c>
      <c r="C33" s="17" t="n">
        <v>9924.24</v>
      </c>
      <c r="D33" s="18" t="n">
        <v>192436</v>
      </c>
      <c r="E33" s="18" t="n">
        <v>1182</v>
      </c>
      <c r="F33" s="18" t="n">
        <v>81</v>
      </c>
      <c r="G33" s="18" t="n">
        <v>34</v>
      </c>
      <c r="H33" s="18" t="n">
        <v>14</v>
      </c>
      <c r="I33" s="17" t="n">
        <v>2176.57</v>
      </c>
      <c r="J33" s="17" t="n">
        <v>22154.37</v>
      </c>
    </row>
    <row r="34" customFormat="false" ht="15" hidden="false" customHeight="false" outlineLevel="0" collapsed="false">
      <c r="A34" s="8" t="s">
        <v>77</v>
      </c>
      <c r="B34" s="8" t="s">
        <v>82</v>
      </c>
      <c r="C34" s="17" t="n">
        <v>10230.34</v>
      </c>
      <c r="D34" s="18" t="n">
        <v>194378</v>
      </c>
      <c r="E34" s="18" t="n">
        <v>1098</v>
      </c>
      <c r="F34" s="18" t="n">
        <v>64</v>
      </c>
      <c r="G34" s="18" t="n">
        <v>31</v>
      </c>
      <c r="H34" s="18" t="n">
        <v>8</v>
      </c>
      <c r="I34" s="17" t="n">
        <v>1223.96</v>
      </c>
      <c r="J34" s="17" t="n">
        <v>13028.17</v>
      </c>
    </row>
    <row r="35" customFormat="false" ht="15" hidden="false" customHeight="false" outlineLevel="0" collapsed="false">
      <c r="A35" s="8" t="s">
        <v>78</v>
      </c>
      <c r="B35" s="8" t="s">
        <v>82</v>
      </c>
      <c r="C35" s="17" t="n">
        <v>10132.55</v>
      </c>
      <c r="D35" s="18" t="n">
        <v>192225</v>
      </c>
      <c r="E35" s="18" t="n">
        <v>1181</v>
      </c>
      <c r="F35" s="18" t="n">
        <v>68</v>
      </c>
      <c r="G35" s="18" t="n">
        <v>35</v>
      </c>
      <c r="H35" s="18" t="n">
        <v>10</v>
      </c>
      <c r="I35" s="17" t="n">
        <v>1453.26</v>
      </c>
      <c r="J35" s="17" t="n">
        <v>16093.07</v>
      </c>
    </row>
    <row r="36" customFormat="false" ht="15" hidden="false" customHeight="false" outlineLevel="0" collapsed="false">
      <c r="A36" s="8" t="s">
        <v>79</v>
      </c>
      <c r="B36" s="8" t="s">
        <v>82</v>
      </c>
      <c r="C36" s="17" t="n">
        <v>11233.24</v>
      </c>
      <c r="D36" s="18" t="n">
        <v>206184</v>
      </c>
      <c r="E36" s="18" t="n">
        <v>1394</v>
      </c>
      <c r="F36" s="18" t="n">
        <v>82</v>
      </c>
      <c r="G36" s="18" t="n">
        <v>34</v>
      </c>
      <c r="H36" s="18" t="n">
        <v>13</v>
      </c>
      <c r="I36" s="17" t="n">
        <v>1974.77</v>
      </c>
      <c r="J36" s="17" t="n">
        <v>19716.52</v>
      </c>
    </row>
    <row r="37" customFormat="false" ht="15" hidden="false" customHeight="false" outlineLevel="0" collapsed="false">
      <c r="A37" s="8" t="s">
        <v>80</v>
      </c>
      <c r="B37" s="8" t="s">
        <v>82</v>
      </c>
      <c r="C37" s="17" t="n">
        <v>11688.83</v>
      </c>
      <c r="D37" s="18" t="n">
        <v>211821</v>
      </c>
      <c r="E37" s="18" t="n">
        <v>1211</v>
      </c>
      <c r="F37" s="18" t="n">
        <v>79</v>
      </c>
      <c r="G37" s="18" t="n">
        <v>35</v>
      </c>
      <c r="H37" s="18" t="n">
        <v>14</v>
      </c>
      <c r="I37" s="17" t="n">
        <v>2178.68</v>
      </c>
      <c r="J37" s="17" t="n">
        <v>24656.14</v>
      </c>
    </row>
    <row r="38" customFormat="false" ht="15" hidden="false" customHeight="false" outlineLevel="0" collapsed="false">
      <c r="A38" s="8" t="s">
        <v>68</v>
      </c>
      <c r="B38" s="8" t="s">
        <v>83</v>
      </c>
      <c r="C38" s="17" t="n">
        <v>4973.22</v>
      </c>
      <c r="D38" s="18" t="n">
        <v>48040</v>
      </c>
      <c r="E38" s="18" t="n">
        <v>3221</v>
      </c>
      <c r="F38" s="18" t="n">
        <v>253</v>
      </c>
      <c r="G38" s="18" t="n">
        <v>131</v>
      </c>
      <c r="H38" s="18" t="n">
        <v>48</v>
      </c>
      <c r="I38" s="17" t="n">
        <v>7391.36</v>
      </c>
      <c r="J38" s="17" t="n">
        <v>81069.05</v>
      </c>
    </row>
    <row r="39" customFormat="false" ht="15" hidden="false" customHeight="false" outlineLevel="0" collapsed="false">
      <c r="A39" s="8" t="s">
        <v>70</v>
      </c>
      <c r="B39" s="8" t="s">
        <v>83</v>
      </c>
      <c r="C39" s="17" t="n">
        <v>4764.82</v>
      </c>
      <c r="D39" s="18" t="n">
        <v>42745</v>
      </c>
      <c r="E39" s="18" t="n">
        <v>2806</v>
      </c>
      <c r="F39" s="18" t="n">
        <v>210</v>
      </c>
      <c r="G39" s="18" t="n">
        <v>109</v>
      </c>
      <c r="H39" s="18" t="n">
        <v>42</v>
      </c>
      <c r="I39" s="17" t="n">
        <v>6225.61</v>
      </c>
      <c r="J39" s="17" t="n">
        <v>61624.22</v>
      </c>
    </row>
    <row r="40" customFormat="false" ht="15" hidden="false" customHeight="false" outlineLevel="0" collapsed="false">
      <c r="A40" s="8" t="s">
        <v>71</v>
      </c>
      <c r="B40" s="8" t="s">
        <v>83</v>
      </c>
      <c r="C40" s="17" t="n">
        <v>4507.63</v>
      </c>
      <c r="D40" s="18" t="n">
        <v>39312</v>
      </c>
      <c r="E40" s="18" t="n">
        <v>2531</v>
      </c>
      <c r="F40" s="18" t="n">
        <v>169</v>
      </c>
      <c r="G40" s="18" t="n">
        <v>72</v>
      </c>
      <c r="H40" s="18" t="n">
        <v>31</v>
      </c>
      <c r="I40" s="17" t="n">
        <v>4481.91</v>
      </c>
      <c r="J40" s="17" t="n">
        <v>48237.42</v>
      </c>
    </row>
    <row r="41" customFormat="false" ht="15" hidden="false" customHeight="false" outlineLevel="0" collapsed="false">
      <c r="A41" s="8" t="s">
        <v>72</v>
      </c>
      <c r="B41" s="8" t="s">
        <v>83</v>
      </c>
      <c r="C41" s="17" t="n">
        <v>4285.24</v>
      </c>
      <c r="D41" s="18" t="n">
        <v>33031</v>
      </c>
      <c r="E41" s="18" t="n">
        <v>1829</v>
      </c>
      <c r="F41" s="18" t="n">
        <v>142</v>
      </c>
      <c r="G41" s="18" t="n">
        <v>64</v>
      </c>
      <c r="H41" s="18" t="n">
        <v>21</v>
      </c>
      <c r="I41" s="17" t="n">
        <v>3091.28</v>
      </c>
      <c r="J41" s="17" t="n">
        <v>30814.4</v>
      </c>
    </row>
    <row r="42" customFormat="false" ht="15" hidden="false" customHeight="false" outlineLevel="0" collapsed="false">
      <c r="A42" s="8" t="s">
        <v>73</v>
      </c>
      <c r="B42" s="8" t="s">
        <v>83</v>
      </c>
      <c r="C42" s="17" t="n">
        <v>4668.19</v>
      </c>
      <c r="D42" s="18" t="n">
        <v>51306</v>
      </c>
      <c r="E42" s="18" t="n">
        <v>2630</v>
      </c>
      <c r="F42" s="18" t="n">
        <v>193</v>
      </c>
      <c r="G42" s="18" t="n">
        <v>107</v>
      </c>
      <c r="H42" s="18" t="n">
        <v>34</v>
      </c>
      <c r="I42" s="17" t="n">
        <v>5225.89</v>
      </c>
      <c r="J42" s="17" t="n">
        <v>55356.12</v>
      </c>
    </row>
    <row r="43" customFormat="false" ht="15" hidden="false" customHeight="false" outlineLevel="0" collapsed="false">
      <c r="A43" s="8" t="s">
        <v>74</v>
      </c>
      <c r="B43" s="8" t="s">
        <v>83</v>
      </c>
      <c r="C43" s="17" t="n">
        <v>4639.73</v>
      </c>
      <c r="D43" s="18" t="n">
        <v>42716</v>
      </c>
      <c r="E43" s="18" t="n">
        <v>2423</v>
      </c>
      <c r="F43" s="18" t="n">
        <v>170</v>
      </c>
      <c r="G43" s="18" t="n">
        <v>71</v>
      </c>
      <c r="H43" s="18" t="n">
        <v>34</v>
      </c>
      <c r="I43" s="17" t="n">
        <v>5023.21</v>
      </c>
      <c r="J43" s="17" t="n">
        <v>56722.65</v>
      </c>
    </row>
    <row r="44" customFormat="false" ht="15" hidden="false" customHeight="false" outlineLevel="0" collapsed="false">
      <c r="A44" s="8" t="s">
        <v>75</v>
      </c>
      <c r="B44" s="8" t="s">
        <v>83</v>
      </c>
      <c r="C44" s="17" t="n">
        <v>4746.4</v>
      </c>
      <c r="D44" s="18" t="n">
        <v>43122</v>
      </c>
      <c r="E44" s="18" t="n">
        <v>2517</v>
      </c>
      <c r="F44" s="18" t="n">
        <v>175</v>
      </c>
      <c r="G44" s="18" t="n">
        <v>81</v>
      </c>
      <c r="H44" s="18" t="n">
        <v>32</v>
      </c>
      <c r="I44" s="17" t="n">
        <v>4829.63</v>
      </c>
      <c r="J44" s="17" t="n">
        <v>52811.8</v>
      </c>
    </row>
    <row r="45" customFormat="false" ht="15" hidden="false" customHeight="false" outlineLevel="0" collapsed="false">
      <c r="A45" s="8" t="s">
        <v>76</v>
      </c>
      <c r="B45" s="8" t="s">
        <v>83</v>
      </c>
      <c r="C45" s="17" t="n">
        <v>4523.07</v>
      </c>
      <c r="D45" s="18" t="n">
        <v>46891</v>
      </c>
      <c r="E45" s="18" t="n">
        <v>2788</v>
      </c>
      <c r="F45" s="18" t="n">
        <v>186</v>
      </c>
      <c r="G45" s="18" t="n">
        <v>101</v>
      </c>
      <c r="H45" s="18" t="n">
        <v>33</v>
      </c>
      <c r="I45" s="17" t="n">
        <v>4745.4</v>
      </c>
      <c r="J45" s="17" t="n">
        <v>49721.5</v>
      </c>
    </row>
    <row r="46" customFormat="false" ht="15" hidden="false" customHeight="false" outlineLevel="0" collapsed="false">
      <c r="A46" s="8" t="s">
        <v>77</v>
      </c>
      <c r="B46" s="8" t="s">
        <v>83</v>
      </c>
      <c r="C46" s="17" t="n">
        <v>4881.01</v>
      </c>
      <c r="D46" s="18" t="n">
        <v>45209</v>
      </c>
      <c r="E46" s="18" t="n">
        <v>2511</v>
      </c>
      <c r="F46" s="18" t="n">
        <v>197</v>
      </c>
      <c r="G46" s="18" t="n">
        <v>97</v>
      </c>
      <c r="H46" s="18" t="n">
        <v>38</v>
      </c>
      <c r="I46" s="17" t="n">
        <v>5362.24</v>
      </c>
      <c r="J46" s="17" t="n">
        <v>57694.41</v>
      </c>
    </row>
    <row r="47" customFormat="false" ht="15" hidden="false" customHeight="false" outlineLevel="0" collapsed="false">
      <c r="A47" s="8" t="s">
        <v>78</v>
      </c>
      <c r="B47" s="8" t="s">
        <v>83</v>
      </c>
      <c r="C47" s="17" t="n">
        <v>4892.09</v>
      </c>
      <c r="D47" s="18" t="n">
        <v>50295</v>
      </c>
      <c r="E47" s="18" t="n">
        <v>3122</v>
      </c>
      <c r="F47" s="18" t="n">
        <v>228</v>
      </c>
      <c r="G47" s="18" t="n">
        <v>111</v>
      </c>
      <c r="H47" s="18" t="n">
        <v>48</v>
      </c>
      <c r="I47" s="17" t="n">
        <v>7867.49</v>
      </c>
      <c r="J47" s="17" t="n">
        <v>82330.14</v>
      </c>
    </row>
    <row r="48" customFormat="false" ht="15" hidden="false" customHeight="false" outlineLevel="0" collapsed="false">
      <c r="A48" s="8" t="s">
        <v>79</v>
      </c>
      <c r="B48" s="8" t="s">
        <v>83</v>
      </c>
      <c r="C48" s="17" t="n">
        <v>5104.87</v>
      </c>
      <c r="D48" s="18" t="n">
        <v>42714</v>
      </c>
      <c r="E48" s="18" t="n">
        <v>2647</v>
      </c>
      <c r="F48" s="18" t="n">
        <v>188</v>
      </c>
      <c r="G48" s="18" t="n">
        <v>82</v>
      </c>
      <c r="H48" s="18" t="n">
        <v>29</v>
      </c>
      <c r="I48" s="17" t="n">
        <v>4467.8</v>
      </c>
      <c r="J48" s="17" t="n">
        <v>50744.55</v>
      </c>
    </row>
    <row r="49" customFormat="false" ht="15" hidden="false" customHeight="false" outlineLevel="0" collapsed="false">
      <c r="A49" s="8" t="s">
        <v>80</v>
      </c>
      <c r="B49" s="8" t="s">
        <v>83</v>
      </c>
      <c r="C49" s="17" t="n">
        <v>5537.65</v>
      </c>
      <c r="D49" s="18" t="n">
        <v>44322</v>
      </c>
      <c r="E49" s="18" t="n">
        <v>2820</v>
      </c>
      <c r="F49" s="18" t="n">
        <v>241</v>
      </c>
      <c r="G49" s="18" t="n">
        <v>113</v>
      </c>
      <c r="H49" s="18" t="n">
        <v>42</v>
      </c>
      <c r="I49" s="17" t="n">
        <v>6004.43</v>
      </c>
      <c r="J49" s="17" t="n">
        <v>64828.41</v>
      </c>
    </row>
    <row r="50" customFormat="false" ht="15" hidden="false" customHeight="false" outlineLevel="0" collapsed="false">
      <c r="A50" s="8" t="s">
        <v>68</v>
      </c>
      <c r="B50" s="8" t="s">
        <v>84</v>
      </c>
      <c r="C50" s="17" t="n">
        <v>1503.1</v>
      </c>
      <c r="D50" s="18" t="n">
        <v>17065</v>
      </c>
      <c r="E50" s="18" t="n">
        <v>1435</v>
      </c>
      <c r="F50" s="18" t="n">
        <v>163</v>
      </c>
      <c r="G50" s="18" t="n">
        <v>73</v>
      </c>
      <c r="H50" s="18" t="n">
        <v>29</v>
      </c>
      <c r="I50" s="17" t="n">
        <v>4478</v>
      </c>
      <c r="J50" s="17" t="n">
        <v>45499.98</v>
      </c>
    </row>
    <row r="51" customFormat="false" ht="15" hidden="false" customHeight="false" outlineLevel="0" collapsed="false">
      <c r="A51" s="8" t="s">
        <v>70</v>
      </c>
      <c r="B51" s="8" t="s">
        <v>84</v>
      </c>
      <c r="C51" s="17" t="n">
        <v>1614.62</v>
      </c>
      <c r="D51" s="18" t="n">
        <v>16080</v>
      </c>
      <c r="E51" s="18" t="n">
        <v>1462</v>
      </c>
      <c r="F51" s="18" t="n">
        <v>175</v>
      </c>
      <c r="G51" s="18" t="n">
        <v>95</v>
      </c>
      <c r="H51" s="18" t="n">
        <v>43</v>
      </c>
      <c r="I51" s="17" t="n">
        <v>6774.82</v>
      </c>
      <c r="J51" s="17" t="n">
        <v>69906.39</v>
      </c>
    </row>
    <row r="52" customFormat="false" ht="15" hidden="false" customHeight="false" outlineLevel="0" collapsed="false">
      <c r="A52" s="8" t="s">
        <v>71</v>
      </c>
      <c r="B52" s="8" t="s">
        <v>84</v>
      </c>
      <c r="C52" s="17" t="n">
        <v>1682.7</v>
      </c>
      <c r="D52" s="18" t="n">
        <v>17897</v>
      </c>
      <c r="E52" s="18" t="n">
        <v>1555</v>
      </c>
      <c r="F52" s="18" t="n">
        <v>194</v>
      </c>
      <c r="G52" s="18" t="n">
        <v>103</v>
      </c>
      <c r="H52" s="18" t="n">
        <v>48</v>
      </c>
      <c r="I52" s="17" t="n">
        <v>7429.63</v>
      </c>
      <c r="J52" s="17" t="n">
        <v>79663.74</v>
      </c>
    </row>
    <row r="53" customFormat="false" ht="15" hidden="false" customHeight="false" outlineLevel="0" collapsed="false">
      <c r="A53" s="8" t="s">
        <v>72</v>
      </c>
      <c r="B53" s="8" t="s">
        <v>84</v>
      </c>
      <c r="C53" s="17" t="n">
        <v>1518.46</v>
      </c>
      <c r="D53" s="18" t="n">
        <v>18355</v>
      </c>
      <c r="E53" s="18" t="n">
        <v>1657</v>
      </c>
      <c r="F53" s="18" t="n">
        <v>174</v>
      </c>
      <c r="G53" s="18" t="n">
        <v>94</v>
      </c>
      <c r="H53" s="18" t="n">
        <v>30</v>
      </c>
      <c r="I53" s="17" t="n">
        <v>4238.8</v>
      </c>
      <c r="J53" s="17" t="n">
        <v>48293.16</v>
      </c>
    </row>
    <row r="54" customFormat="false" ht="15" hidden="false" customHeight="false" outlineLevel="0" collapsed="false">
      <c r="A54" s="8" t="s">
        <v>73</v>
      </c>
      <c r="B54" s="8" t="s">
        <v>84</v>
      </c>
      <c r="C54" s="17" t="n">
        <v>1552.47</v>
      </c>
      <c r="D54" s="18" t="n">
        <v>15793</v>
      </c>
      <c r="E54" s="18" t="n">
        <v>1341</v>
      </c>
      <c r="F54" s="18" t="n">
        <v>150</v>
      </c>
      <c r="G54" s="18" t="n">
        <v>70</v>
      </c>
      <c r="H54" s="18" t="n">
        <v>31</v>
      </c>
      <c r="I54" s="17" t="n">
        <v>4781.99</v>
      </c>
      <c r="J54" s="17" t="n">
        <v>53816.26</v>
      </c>
    </row>
    <row r="55" customFormat="false" ht="15" hidden="false" customHeight="false" outlineLevel="0" collapsed="false">
      <c r="A55" s="8" t="s">
        <v>74</v>
      </c>
      <c r="B55" s="8" t="s">
        <v>84</v>
      </c>
      <c r="C55" s="17" t="n">
        <v>1790.49</v>
      </c>
      <c r="D55" s="18" t="n">
        <v>16734</v>
      </c>
      <c r="E55" s="18" t="n">
        <v>1387</v>
      </c>
      <c r="F55" s="18" t="n">
        <v>174</v>
      </c>
      <c r="G55" s="18" t="n">
        <v>74</v>
      </c>
      <c r="H55" s="18" t="n">
        <v>30</v>
      </c>
      <c r="I55" s="17" t="n">
        <v>4244.27</v>
      </c>
      <c r="J55" s="17" t="n">
        <v>44194.68</v>
      </c>
    </row>
    <row r="56" customFormat="false" ht="15" hidden="false" customHeight="false" outlineLevel="0" collapsed="false">
      <c r="A56" s="8" t="s">
        <v>75</v>
      </c>
      <c r="B56" s="8" t="s">
        <v>84</v>
      </c>
      <c r="C56" s="17" t="n">
        <v>1620.72</v>
      </c>
      <c r="D56" s="18" t="n">
        <v>13814</v>
      </c>
      <c r="E56" s="18" t="n">
        <v>1134</v>
      </c>
      <c r="F56" s="18" t="n">
        <v>149</v>
      </c>
      <c r="G56" s="18" t="n">
        <v>66</v>
      </c>
      <c r="H56" s="18" t="n">
        <v>33</v>
      </c>
      <c r="I56" s="17" t="n">
        <v>4798.07</v>
      </c>
      <c r="J56" s="17" t="n">
        <v>49402.81</v>
      </c>
    </row>
    <row r="57" customFormat="false" ht="15" hidden="false" customHeight="false" outlineLevel="0" collapsed="false">
      <c r="A57" s="8" t="s">
        <v>76</v>
      </c>
      <c r="B57" s="8" t="s">
        <v>84</v>
      </c>
      <c r="C57" s="17" t="n">
        <v>1665.06</v>
      </c>
      <c r="D57" s="18" t="n">
        <v>13920</v>
      </c>
      <c r="E57" s="18" t="n">
        <v>1285</v>
      </c>
      <c r="F57" s="18" t="n">
        <v>144</v>
      </c>
      <c r="G57" s="18" t="n">
        <v>62</v>
      </c>
      <c r="H57" s="18" t="n">
        <v>26</v>
      </c>
      <c r="I57" s="17" t="n">
        <v>4141.08</v>
      </c>
      <c r="J57" s="17" t="n">
        <v>41917.03</v>
      </c>
    </row>
    <row r="58" customFormat="false" ht="15" hidden="false" customHeight="false" outlineLevel="0" collapsed="false">
      <c r="A58" s="8" t="s">
        <v>77</v>
      </c>
      <c r="B58" s="8" t="s">
        <v>84</v>
      </c>
      <c r="C58" s="17" t="n">
        <v>1489.73</v>
      </c>
      <c r="D58" s="18" t="n">
        <v>17788</v>
      </c>
      <c r="E58" s="18" t="n">
        <v>1688</v>
      </c>
      <c r="F58" s="18" t="n">
        <v>205</v>
      </c>
      <c r="G58" s="18" t="n">
        <v>107</v>
      </c>
      <c r="H58" s="18" t="n">
        <v>42</v>
      </c>
      <c r="I58" s="17" t="n">
        <v>5903.46</v>
      </c>
      <c r="J58" s="17" t="n">
        <v>63522.74</v>
      </c>
    </row>
    <row r="59" customFormat="false" ht="15" hidden="false" customHeight="false" outlineLevel="0" collapsed="false">
      <c r="A59" s="8" t="s">
        <v>78</v>
      </c>
      <c r="B59" s="8" t="s">
        <v>84</v>
      </c>
      <c r="C59" s="17" t="n">
        <v>1622.17</v>
      </c>
      <c r="D59" s="18" t="n">
        <v>13935</v>
      </c>
      <c r="E59" s="18" t="n">
        <v>1163</v>
      </c>
      <c r="F59" s="18" t="n">
        <v>117</v>
      </c>
      <c r="G59" s="18" t="n">
        <v>64</v>
      </c>
      <c r="H59" s="18" t="n">
        <v>23</v>
      </c>
      <c r="I59" s="17" t="n">
        <v>3682.86</v>
      </c>
      <c r="J59" s="17" t="n">
        <v>41636.68</v>
      </c>
    </row>
    <row r="60" customFormat="false" ht="15" hidden="false" customHeight="false" outlineLevel="0" collapsed="false">
      <c r="A60" s="8" t="s">
        <v>79</v>
      </c>
      <c r="B60" s="8" t="s">
        <v>84</v>
      </c>
      <c r="C60" s="17" t="n">
        <v>1773.02</v>
      </c>
      <c r="D60" s="18" t="n">
        <v>18137</v>
      </c>
      <c r="E60" s="18" t="n">
        <v>1453</v>
      </c>
      <c r="F60" s="18" t="n">
        <v>188</v>
      </c>
      <c r="G60" s="18" t="n">
        <v>80</v>
      </c>
      <c r="H60" s="18" t="n">
        <v>36</v>
      </c>
      <c r="I60" s="17" t="n">
        <v>5447.66</v>
      </c>
      <c r="J60" s="17" t="n">
        <v>61140.45</v>
      </c>
    </row>
    <row r="61" customFormat="false" ht="15" hidden="false" customHeight="false" outlineLevel="0" collapsed="false">
      <c r="A61" s="8" t="s">
        <v>80</v>
      </c>
      <c r="B61" s="8" t="s">
        <v>84</v>
      </c>
      <c r="C61" s="17" t="n">
        <v>1864.89</v>
      </c>
      <c r="D61" s="18" t="n">
        <v>20243</v>
      </c>
      <c r="E61" s="18" t="n">
        <v>1813</v>
      </c>
      <c r="F61" s="18" t="n">
        <v>210</v>
      </c>
      <c r="G61" s="18" t="n">
        <v>102</v>
      </c>
      <c r="H61" s="18" t="n">
        <v>40</v>
      </c>
      <c r="I61" s="17" t="n">
        <v>6554.71</v>
      </c>
      <c r="J61" s="17" t="n">
        <v>69796.84</v>
      </c>
    </row>
    <row r="62" customFormat="false" ht="15" hidden="false" customHeight="false" outlineLevel="0" collapsed="false">
      <c r="A62" s="8" t="s">
        <v>68</v>
      </c>
      <c r="B62" s="8" t="s">
        <v>85</v>
      </c>
      <c r="C62" s="17" t="n">
        <v>6917.16</v>
      </c>
      <c r="D62" s="18" t="n">
        <v>70705</v>
      </c>
      <c r="E62" s="18" t="n">
        <v>2159</v>
      </c>
      <c r="F62" s="18" t="n">
        <v>311</v>
      </c>
      <c r="G62" s="18" t="n">
        <v>163</v>
      </c>
      <c r="H62" s="18" t="n">
        <v>98</v>
      </c>
      <c r="I62" s="17" t="n">
        <v>13418.83</v>
      </c>
      <c r="J62" s="17" t="n">
        <v>139202.87</v>
      </c>
    </row>
    <row r="63" customFormat="false" ht="15" hidden="false" customHeight="false" outlineLevel="0" collapsed="false">
      <c r="A63" s="8" t="s">
        <v>70</v>
      </c>
      <c r="B63" s="8" t="s">
        <v>85</v>
      </c>
      <c r="C63" s="17" t="n">
        <v>7236.46</v>
      </c>
      <c r="D63" s="18" t="n">
        <v>66750</v>
      </c>
      <c r="E63" s="18" t="n">
        <v>2161</v>
      </c>
      <c r="F63" s="18" t="n">
        <v>337</v>
      </c>
      <c r="G63" s="18" t="n">
        <v>151</v>
      </c>
      <c r="H63" s="18" t="n">
        <v>92</v>
      </c>
      <c r="I63" s="17" t="n">
        <v>12195.8</v>
      </c>
      <c r="J63" s="17" t="n">
        <v>135112.43</v>
      </c>
    </row>
    <row r="64" customFormat="false" ht="15" hidden="false" customHeight="false" outlineLevel="0" collapsed="false">
      <c r="A64" s="8" t="s">
        <v>71</v>
      </c>
      <c r="B64" s="8" t="s">
        <v>85</v>
      </c>
      <c r="C64" s="17" t="n">
        <v>6564</v>
      </c>
      <c r="D64" s="18" t="n">
        <v>60028</v>
      </c>
      <c r="E64" s="18" t="n">
        <v>2059</v>
      </c>
      <c r="F64" s="18" t="n">
        <v>299</v>
      </c>
      <c r="G64" s="18" t="n">
        <v>142</v>
      </c>
      <c r="H64" s="18" t="n">
        <v>81</v>
      </c>
      <c r="I64" s="17" t="n">
        <v>11874.97</v>
      </c>
      <c r="J64" s="17" t="n">
        <v>124579.36</v>
      </c>
    </row>
    <row r="65" customFormat="false" ht="15" hidden="false" customHeight="false" outlineLevel="0" collapsed="false">
      <c r="A65" s="8" t="s">
        <v>72</v>
      </c>
      <c r="B65" s="8" t="s">
        <v>85</v>
      </c>
      <c r="C65" s="17" t="n">
        <v>7028.03</v>
      </c>
      <c r="D65" s="18" t="n">
        <v>64716</v>
      </c>
      <c r="E65" s="18" t="n">
        <v>1725</v>
      </c>
      <c r="F65" s="18" t="n">
        <v>231</v>
      </c>
      <c r="G65" s="18" t="n">
        <v>107</v>
      </c>
      <c r="H65" s="18" t="n">
        <v>56</v>
      </c>
      <c r="I65" s="17" t="n">
        <v>8211.56</v>
      </c>
      <c r="J65" s="17" t="n">
        <v>89851.82</v>
      </c>
    </row>
    <row r="66" customFormat="false" ht="15" hidden="false" customHeight="false" outlineLevel="0" collapsed="false">
      <c r="A66" s="8" t="s">
        <v>73</v>
      </c>
      <c r="B66" s="8" t="s">
        <v>85</v>
      </c>
      <c r="C66" s="17" t="n">
        <v>6724.98</v>
      </c>
      <c r="D66" s="18" t="n">
        <v>66002</v>
      </c>
      <c r="E66" s="18" t="n">
        <v>1919</v>
      </c>
      <c r="F66" s="18" t="n">
        <v>281</v>
      </c>
      <c r="G66" s="18" t="n">
        <v>146</v>
      </c>
      <c r="H66" s="18" t="n">
        <v>71</v>
      </c>
      <c r="I66" s="17" t="n">
        <v>11377.09</v>
      </c>
      <c r="J66" s="17" t="n">
        <v>129636.08</v>
      </c>
    </row>
    <row r="67" customFormat="false" ht="15" hidden="false" customHeight="false" outlineLevel="0" collapsed="false">
      <c r="A67" s="8" t="s">
        <v>74</v>
      </c>
      <c r="B67" s="8" t="s">
        <v>85</v>
      </c>
      <c r="C67" s="17" t="n">
        <v>6048.89</v>
      </c>
      <c r="D67" s="18" t="n">
        <v>58259</v>
      </c>
      <c r="E67" s="18" t="n">
        <v>1771</v>
      </c>
      <c r="F67" s="18" t="n">
        <v>282</v>
      </c>
      <c r="G67" s="18" t="n">
        <v>131</v>
      </c>
      <c r="H67" s="18" t="n">
        <v>75</v>
      </c>
      <c r="I67" s="17" t="n">
        <v>11305.78</v>
      </c>
      <c r="J67" s="17" t="n">
        <v>112718.41</v>
      </c>
    </row>
    <row r="68" customFormat="false" ht="15" hidden="false" customHeight="false" outlineLevel="0" collapsed="false">
      <c r="A68" s="8" t="s">
        <v>75</v>
      </c>
      <c r="B68" s="8" t="s">
        <v>85</v>
      </c>
      <c r="C68" s="17" t="n">
        <v>6521.58</v>
      </c>
      <c r="D68" s="18" t="n">
        <v>60476</v>
      </c>
      <c r="E68" s="18" t="n">
        <v>1878</v>
      </c>
      <c r="F68" s="18" t="n">
        <v>246</v>
      </c>
      <c r="G68" s="18" t="n">
        <v>131</v>
      </c>
      <c r="H68" s="18" t="n">
        <v>61</v>
      </c>
      <c r="I68" s="17" t="n">
        <v>9050.51</v>
      </c>
      <c r="J68" s="17" t="n">
        <v>90784.9</v>
      </c>
    </row>
    <row r="69" customFormat="false" ht="15" hidden="false" customHeight="false" outlineLevel="0" collapsed="false">
      <c r="A69" s="8" t="s">
        <v>76</v>
      </c>
      <c r="B69" s="8" t="s">
        <v>85</v>
      </c>
      <c r="C69" s="17" t="n">
        <v>6039.1</v>
      </c>
      <c r="D69" s="18" t="n">
        <v>61709</v>
      </c>
      <c r="E69" s="18" t="n">
        <v>1793</v>
      </c>
      <c r="F69" s="18" t="n">
        <v>262</v>
      </c>
      <c r="G69" s="18" t="n">
        <v>128</v>
      </c>
      <c r="H69" s="18" t="n">
        <v>73</v>
      </c>
      <c r="I69" s="17" t="n">
        <v>10448.1</v>
      </c>
      <c r="J69" s="17" t="n">
        <v>107885.68</v>
      </c>
    </row>
    <row r="70" customFormat="false" ht="15" hidden="false" customHeight="false" outlineLevel="0" collapsed="false">
      <c r="A70" s="8" t="s">
        <v>77</v>
      </c>
      <c r="B70" s="8" t="s">
        <v>85</v>
      </c>
      <c r="C70" s="17" t="n">
        <v>6738.5</v>
      </c>
      <c r="D70" s="18" t="n">
        <v>58640</v>
      </c>
      <c r="E70" s="18" t="n">
        <v>1656</v>
      </c>
      <c r="F70" s="18" t="n">
        <v>239</v>
      </c>
      <c r="G70" s="18" t="n">
        <v>126</v>
      </c>
      <c r="H70" s="18" t="n">
        <v>60</v>
      </c>
      <c r="I70" s="17" t="n">
        <v>8431.67</v>
      </c>
      <c r="J70" s="17" t="n">
        <v>86871.7</v>
      </c>
    </row>
    <row r="71" customFormat="false" ht="15" hidden="false" customHeight="false" outlineLevel="0" collapsed="false">
      <c r="A71" s="8" t="s">
        <v>78</v>
      </c>
      <c r="B71" s="8" t="s">
        <v>85</v>
      </c>
      <c r="C71" s="17" t="n">
        <v>6800.69</v>
      </c>
      <c r="D71" s="18" t="n">
        <v>68811</v>
      </c>
      <c r="E71" s="18" t="n">
        <v>1939</v>
      </c>
      <c r="F71" s="18" t="n">
        <v>244</v>
      </c>
      <c r="G71" s="18" t="n">
        <v>128</v>
      </c>
      <c r="H71" s="18" t="n">
        <v>69</v>
      </c>
      <c r="I71" s="17" t="n">
        <v>10326.44</v>
      </c>
      <c r="J71" s="17" t="n">
        <v>107064.34</v>
      </c>
    </row>
    <row r="72" customFormat="false" ht="15" hidden="false" customHeight="false" outlineLevel="0" collapsed="false">
      <c r="A72" s="8" t="s">
        <v>79</v>
      </c>
      <c r="B72" s="8" t="s">
        <v>85</v>
      </c>
      <c r="C72" s="17" t="n">
        <v>7285.54</v>
      </c>
      <c r="D72" s="18" t="n">
        <v>71427</v>
      </c>
      <c r="E72" s="18" t="n">
        <v>2251</v>
      </c>
      <c r="F72" s="18" t="n">
        <v>300</v>
      </c>
      <c r="G72" s="18" t="n">
        <v>139</v>
      </c>
      <c r="H72" s="18" t="n">
        <v>94</v>
      </c>
      <c r="I72" s="17" t="n">
        <v>14780.61</v>
      </c>
      <c r="J72" s="17" t="n">
        <v>155319.23</v>
      </c>
    </row>
    <row r="73" customFormat="false" ht="15" hidden="false" customHeight="false" outlineLevel="0" collapsed="false">
      <c r="A73" s="8" t="s">
        <v>80</v>
      </c>
      <c r="B73" s="8" t="s">
        <v>85</v>
      </c>
      <c r="C73" s="17" t="n">
        <v>8348.33</v>
      </c>
      <c r="D73" s="18" t="n">
        <v>80362</v>
      </c>
      <c r="E73" s="18" t="n">
        <v>2605</v>
      </c>
      <c r="F73" s="18" t="n">
        <v>432</v>
      </c>
      <c r="G73" s="18" t="n">
        <v>217</v>
      </c>
      <c r="H73" s="18" t="n">
        <v>114</v>
      </c>
      <c r="I73" s="17" t="n">
        <v>16861.04</v>
      </c>
      <c r="J73" s="17" t="n">
        <v>170568.88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18" min="2" style="0" width="13"/>
  </cols>
  <sheetData>
    <row r="1" customFormat="false" ht="16.15" hidden="false" customHeight="false" outlineLevel="0" collapsed="false">
      <c r="A1" s="5" t="s">
        <v>86</v>
      </c>
    </row>
    <row r="2" customFormat="false" ht="15" hidden="false" customHeight="false" outlineLevel="0" collapsed="false">
      <c r="A2" s="6" t="s">
        <v>87</v>
      </c>
    </row>
    <row r="4" customFormat="false" ht="23.85" hidden="false" customHeight="false" outlineLevel="0" collapsed="false">
      <c r="A4" s="19" t="s">
        <v>59</v>
      </c>
      <c r="B4" s="20" t="s">
        <v>88</v>
      </c>
      <c r="C4" s="20" t="s">
        <v>61</v>
      </c>
      <c r="D4" s="20" t="s">
        <v>62</v>
      </c>
      <c r="E4" s="20" t="s">
        <v>63</v>
      </c>
      <c r="F4" s="20" t="s">
        <v>89</v>
      </c>
      <c r="G4" s="20" t="s">
        <v>90</v>
      </c>
      <c r="H4" s="20" t="s">
        <v>91</v>
      </c>
      <c r="I4" s="20" t="s">
        <v>92</v>
      </c>
      <c r="J4" s="20" t="s">
        <v>93</v>
      </c>
      <c r="K4" s="20" t="s">
        <v>94</v>
      </c>
      <c r="L4" s="20" t="s">
        <v>95</v>
      </c>
      <c r="M4" s="20" t="s">
        <v>96</v>
      </c>
      <c r="N4" s="20" t="s">
        <v>97</v>
      </c>
      <c r="O4" s="20" t="s">
        <v>98</v>
      </c>
      <c r="P4" s="20" t="s">
        <v>99</v>
      </c>
      <c r="Q4" s="20" t="s">
        <v>100</v>
      </c>
      <c r="R4" s="20" t="s">
        <v>101</v>
      </c>
    </row>
    <row r="5" customFormat="false" ht="15" hidden="false" customHeight="false" outlineLevel="0" collapsed="false">
      <c r="A5" s="8" t="s">
        <v>84</v>
      </c>
      <c r="B5" s="21" t="n">
        <f aca="false">SUMIF('Raw Data'!$B$2:$B$73,$A5,'Raw Data'!$C$2:$C$73)</f>
        <v>19697.43</v>
      </c>
      <c r="C5" s="18" t="n">
        <f aca="false">SUMIF('Raw Data'!$B$2:$B$73,$A5,'Raw Data'!$D$2:$D$73)</f>
        <v>199761</v>
      </c>
      <c r="D5" s="18" t="n">
        <f aca="false">SUMIF('Raw Data'!$B$2:$B$73,$A5,'Raw Data'!$E$2:$E$73)</f>
        <v>17373</v>
      </c>
      <c r="E5" s="18" t="n">
        <f aca="false">SUMIF('Raw Data'!$B$2:$B$73,$A5,'Raw Data'!$F$2:$F$73)</f>
        <v>2043</v>
      </c>
      <c r="F5" s="18" t="n">
        <f aca="false">SUMIF('Raw Data'!$B$2:$B$73,$A5,'Raw Data'!$G$2:$G$73)</f>
        <v>990</v>
      </c>
      <c r="G5" s="18" t="n">
        <f aca="false">SUMIF('Raw Data'!$B$2:$B$73,$A5,'Raw Data'!$H$2:$H$73)</f>
        <v>411</v>
      </c>
      <c r="H5" s="21" t="n">
        <f aca="false">SUMIF('Raw Data'!$B$2:$B$73,$A5,'Raw Data'!$J$2:$J$73)</f>
        <v>668790.76</v>
      </c>
      <c r="I5" s="22" t="n">
        <f aca="false">IFERROR(D5/C5,0)</f>
        <v>0.0869689278688032</v>
      </c>
      <c r="J5" s="17" t="str">
        <f aca="false">IF(ISNUMBER(MATCH($A5,{"Google Search Ads";"Meta Ads";"LinkedIn Ads"},0)),IFERROR(B5/D5,0),"")</f>
        <v/>
      </c>
      <c r="K5" s="21" t="n">
        <f aca="false">IFERROR(B5/E5,0)</f>
        <v>9.64142437591777</v>
      </c>
      <c r="L5" s="21" t="n">
        <f aca="false">IFERROR(B5/G5,0)</f>
        <v>47.9256204379562</v>
      </c>
      <c r="M5" s="23" t="n">
        <f aca="false">IFERROR(G5/E5,0)</f>
        <v>0.201174743024963</v>
      </c>
      <c r="N5" s="24" t="n">
        <f aca="false">IFERROR(H5/B5,0)</f>
        <v>33.9531989706271</v>
      </c>
      <c r="O5" s="25" t="n">
        <f aca="false">IFERROR(L5/(Assumptions!$B$5*Assumptions!$B$6),0)</f>
        <v>0.446733971271031</v>
      </c>
      <c r="P5" s="23" t="n">
        <f aca="false">IFERROR(B5/$B$11,0)</f>
        <v>0.0277708768405488</v>
      </c>
      <c r="Q5" s="23" t="n">
        <f aca="false">IFERROR(G5/$G$11,0)</f>
        <v>0.133441558441558</v>
      </c>
      <c r="R5" s="8" t="str">
        <f aca="false">IF(O5&gt;Assumptions!$B$9,"Cut",IF(L5&gt;Assumptions!$B$7,"Hold","Fund"))</f>
        <v>Fund</v>
      </c>
    </row>
    <row r="6" customFormat="false" ht="15" hidden="false" customHeight="false" outlineLevel="0" collapsed="false">
      <c r="A6" s="8" t="s">
        <v>85</v>
      </c>
      <c r="B6" s="21" t="n">
        <f aca="false">SUMIF('Raw Data'!$B$2:$B$73,$A6,'Raw Data'!$C$2:$C$73)</f>
        <v>82253.26</v>
      </c>
      <c r="C6" s="18" t="n">
        <f aca="false">SUMIF('Raw Data'!$B$2:$B$73,$A6,'Raw Data'!$D$2:$D$73)</f>
        <v>787885</v>
      </c>
      <c r="D6" s="18" t="n">
        <f aca="false">SUMIF('Raw Data'!$B$2:$B$73,$A6,'Raw Data'!$E$2:$E$73)</f>
        <v>23916</v>
      </c>
      <c r="E6" s="18" t="n">
        <f aca="false">SUMIF('Raw Data'!$B$2:$B$73,$A6,'Raw Data'!$F$2:$F$73)</f>
        <v>3464</v>
      </c>
      <c r="F6" s="18" t="n">
        <f aca="false">SUMIF('Raw Data'!$B$2:$B$73,$A6,'Raw Data'!$G$2:$G$73)</f>
        <v>1709</v>
      </c>
      <c r="G6" s="18" t="n">
        <f aca="false">SUMIF('Raw Data'!$B$2:$B$73,$A6,'Raw Data'!$H$2:$H$73)</f>
        <v>944</v>
      </c>
      <c r="H6" s="21" t="n">
        <f aca="false">SUMIF('Raw Data'!$B$2:$B$73,$A6,'Raw Data'!$J$2:$J$73)</f>
        <v>1449595.7</v>
      </c>
      <c r="I6" s="22" t="n">
        <f aca="false">IFERROR(D6/C6,0)</f>
        <v>0.0303546837419167</v>
      </c>
      <c r="J6" s="17" t="str">
        <f aca="false">IF(ISNUMBER(MATCH($A6,{"Google Search Ads";"Meta Ads";"LinkedIn Ads"},0)),IFERROR(B6/D6,0),"")</f>
        <v/>
      </c>
      <c r="K6" s="21" t="n">
        <f aca="false">IFERROR(B6/E6,0)</f>
        <v>23.7451674364896</v>
      </c>
      <c r="L6" s="21" t="n">
        <f aca="false">IFERROR(B6/G6,0)</f>
        <v>87.1326906779661</v>
      </c>
      <c r="M6" s="23" t="n">
        <f aca="false">IFERROR(G6/E6,0)</f>
        <v>0.272517321016166</v>
      </c>
      <c r="N6" s="24" t="n">
        <f aca="false">IFERROR(H6/B6,0)</f>
        <v>17.6235653152228</v>
      </c>
      <c r="O6" s="25" t="n">
        <f aca="false">IFERROR(L6/(Assumptions!$B$5*Assumptions!$B$6),0)</f>
        <v>0.81219883182295</v>
      </c>
      <c r="P6" s="23" t="n">
        <f aca="false">IFERROR(B6/$B$11,0)</f>
        <v>0.115966659264363</v>
      </c>
      <c r="Q6" s="23" t="n">
        <f aca="false">IFERROR(G6/$G$11,0)</f>
        <v>0.306493506493507</v>
      </c>
      <c r="R6" s="8" t="str">
        <f aca="false">IF(O6&gt;Assumptions!$B$9,"Cut",IF(L6&gt;Assumptions!$B$7,"Hold","Fund"))</f>
        <v>Fund</v>
      </c>
    </row>
    <row r="7" customFormat="false" ht="15" hidden="false" customHeight="false" outlineLevel="0" collapsed="false">
      <c r="A7" s="8" t="s">
        <v>83</v>
      </c>
      <c r="B7" s="21" t="n">
        <f aca="false">SUMIF('Raw Data'!$B$2:$B$73,$A7,'Raw Data'!$C$2:$C$73)</f>
        <v>57523.92</v>
      </c>
      <c r="C7" s="18" t="n">
        <f aca="false">SUMIF('Raw Data'!$B$2:$B$73,$A7,'Raw Data'!$D$2:$D$73)</f>
        <v>529703</v>
      </c>
      <c r="D7" s="18" t="n">
        <f aca="false">SUMIF('Raw Data'!$B$2:$B$73,$A7,'Raw Data'!$E$2:$E$73)</f>
        <v>31845</v>
      </c>
      <c r="E7" s="18" t="n">
        <f aca="false">SUMIF('Raw Data'!$B$2:$B$73,$A7,'Raw Data'!$F$2:$F$73)</f>
        <v>2352</v>
      </c>
      <c r="F7" s="18" t="n">
        <f aca="false">SUMIF('Raw Data'!$B$2:$B$73,$A7,'Raw Data'!$G$2:$G$73)</f>
        <v>1139</v>
      </c>
      <c r="G7" s="18" t="n">
        <f aca="false">SUMIF('Raw Data'!$B$2:$B$73,$A7,'Raw Data'!$H$2:$H$73)</f>
        <v>432</v>
      </c>
      <c r="H7" s="21" t="n">
        <f aca="false">SUMIF('Raw Data'!$B$2:$B$73,$A7,'Raw Data'!$J$2:$J$73)</f>
        <v>691954.67</v>
      </c>
      <c r="I7" s="22" t="n">
        <f aca="false">IFERROR(D7/C7,0)</f>
        <v>0.060118594759705</v>
      </c>
      <c r="J7" s="17" t="str">
        <f aca="false">IF(ISNUMBER(MATCH($A7,{"Google Search Ads";"Meta Ads";"LinkedIn Ads"},0)),IFERROR(B7/D7,0),"")</f>
        <v/>
      </c>
      <c r="K7" s="21" t="n">
        <f aca="false">IFERROR(B7/E7,0)</f>
        <v>24.4574489795918</v>
      </c>
      <c r="L7" s="21" t="n">
        <f aca="false">IFERROR(B7/G7,0)</f>
        <v>133.157222222222</v>
      </c>
      <c r="M7" s="23" t="n">
        <f aca="false">IFERROR(G7/E7,0)</f>
        <v>0.183673469387755</v>
      </c>
      <c r="N7" s="24" t="n">
        <f aca="false">IFERROR(H7/B7,0)</f>
        <v>12.028990200946</v>
      </c>
      <c r="O7" s="25" t="n">
        <f aca="false">IFERROR(L7/(Assumptions!$B$5*Assumptions!$B$6),0)</f>
        <v>1.24121198939432</v>
      </c>
      <c r="P7" s="23" t="n">
        <f aca="false">IFERROR(B7/$B$11,0)</f>
        <v>0.0811014278363006</v>
      </c>
      <c r="Q7" s="23" t="n">
        <f aca="false">IFERROR(G7/$G$11,0)</f>
        <v>0.14025974025974</v>
      </c>
      <c r="R7" s="8" t="str">
        <f aca="false">IF(O7&gt;Assumptions!$B$9,"Cut",IF(L7&gt;Assumptions!$B$7,"Hold","Fund"))</f>
        <v>Fund</v>
      </c>
    </row>
    <row r="8" customFormat="false" ht="15" hidden="false" customHeight="false" outlineLevel="0" collapsed="false">
      <c r="A8" s="8" t="s">
        <v>81</v>
      </c>
      <c r="B8" s="21" t="n">
        <f aca="false">SUMIF('Raw Data'!$B$2:$B$73,$A8,'Raw Data'!$C$2:$C$73)</f>
        <v>190502.46</v>
      </c>
      <c r="C8" s="18" t="n">
        <f aca="false">SUMIF('Raw Data'!$B$2:$B$73,$A8,'Raw Data'!$D$2:$D$73)</f>
        <v>10684539</v>
      </c>
      <c r="D8" s="18" t="n">
        <f aca="false">SUMIF('Raw Data'!$B$2:$B$73,$A8,'Raw Data'!$E$2:$E$73)</f>
        <v>145925</v>
      </c>
      <c r="E8" s="18" t="n">
        <f aca="false">SUMIF('Raw Data'!$B$2:$B$73,$A8,'Raw Data'!$F$2:$F$73)</f>
        <v>7532</v>
      </c>
      <c r="F8" s="18" t="n">
        <f aca="false">SUMIF('Raw Data'!$B$2:$B$73,$A8,'Raw Data'!$G$2:$G$73)</f>
        <v>3703</v>
      </c>
      <c r="G8" s="18" t="n">
        <f aca="false">SUMIF('Raw Data'!$B$2:$B$73,$A8,'Raw Data'!$H$2:$H$73)</f>
        <v>539</v>
      </c>
      <c r="H8" s="21" t="n">
        <f aca="false">SUMIF('Raw Data'!$B$2:$B$73,$A8,'Raw Data'!$J$2:$J$73)</f>
        <v>870170.38</v>
      </c>
      <c r="I8" s="22" t="n">
        <f aca="false">IFERROR(D8/C8,0)</f>
        <v>0.0136575850394668</v>
      </c>
      <c r="J8" s="17" t="n">
        <f aca="false">IF(ISNUMBER(MATCH($A8,{"Google Search Ads";"Meta Ads";"LinkedIn Ads"},0)),IFERROR(B8/D8,0),"")</f>
        <v>1.30548199417509</v>
      </c>
      <c r="K8" s="21" t="n">
        <f aca="false">IFERROR(B8/E8,0)</f>
        <v>25.2924137015401</v>
      </c>
      <c r="L8" s="21" t="n">
        <f aca="false">IFERROR(B8/G8,0)</f>
        <v>353.436846011132</v>
      </c>
      <c r="M8" s="23" t="n">
        <f aca="false">IFERROR(G8/E8,0)</f>
        <v>0.0715613382899628</v>
      </c>
      <c r="N8" s="24" t="n">
        <f aca="false">IFERROR(H8/B8,0)</f>
        <v>4.5677645317546</v>
      </c>
      <c r="O8" s="25" t="n">
        <f aca="false">IFERROR(L8/(Assumptions!$B$5*Assumptions!$B$6),0)</f>
        <v>3.29452690166976</v>
      </c>
      <c r="P8" s="23" t="n">
        <f aca="false">IFERROR(B8/$B$11,0)</f>
        <v>0.268584295234534</v>
      </c>
      <c r="Q8" s="23" t="n">
        <f aca="false">IFERROR(G8/$G$11,0)</f>
        <v>0.175</v>
      </c>
      <c r="R8" s="8" t="str">
        <f aca="false">IF(O8&gt;Assumptions!$B$9,"Cut",IF(L8&gt;Assumptions!$B$7,"Hold","Fund"))</f>
        <v>Hold</v>
      </c>
    </row>
    <row r="9" customFormat="false" ht="15" hidden="false" customHeight="false" outlineLevel="0" collapsed="false">
      <c r="A9" s="8" t="s">
        <v>69</v>
      </c>
      <c r="B9" s="21" t="n">
        <f aca="false">SUMIF('Raw Data'!$B$2:$B$73,$A9,'Raw Data'!$C$2:$C$73)</f>
        <v>237778.72</v>
      </c>
      <c r="C9" s="18" t="n">
        <f aca="false">SUMIF('Raw Data'!$B$2:$B$73,$A9,'Raw Data'!$D$2:$D$73)</f>
        <v>1501181</v>
      </c>
      <c r="D9" s="18" t="n">
        <f aca="false">SUMIF('Raw Data'!$B$2:$B$73,$A9,'Raw Data'!$E$2:$E$73)</f>
        <v>58551</v>
      </c>
      <c r="E9" s="18" t="n">
        <f aca="false">SUMIF('Raw Data'!$B$2:$B$73,$A9,'Raw Data'!$F$2:$F$73)</f>
        <v>4842</v>
      </c>
      <c r="F9" s="18" t="n">
        <f aca="false">SUMIF('Raw Data'!$B$2:$B$73,$A9,'Raw Data'!$G$2:$G$73)</f>
        <v>2464</v>
      </c>
      <c r="G9" s="18" t="n">
        <f aca="false">SUMIF('Raw Data'!$B$2:$B$73,$A9,'Raw Data'!$H$2:$H$73)</f>
        <v>623</v>
      </c>
      <c r="H9" s="21" t="n">
        <f aca="false">SUMIF('Raw Data'!$B$2:$B$73,$A9,'Raw Data'!$J$2:$J$73)</f>
        <v>1015323.96</v>
      </c>
      <c r="I9" s="22" t="n">
        <f aca="false">IFERROR(D9/C9,0)</f>
        <v>0.0390032914085643</v>
      </c>
      <c r="J9" s="17" t="n">
        <f aca="false">IF(ISNUMBER(MATCH($A9,{"Google Search Ads";"Meta Ads";"LinkedIn Ads"},0)),IFERROR(B9/D9,0),"")</f>
        <v>4.0610530990077</v>
      </c>
      <c r="K9" s="21" t="n">
        <f aca="false">IFERROR(B9/E9,0)</f>
        <v>49.1075423378769</v>
      </c>
      <c r="L9" s="21" t="n">
        <f aca="false">IFERROR(B9/G9,0)</f>
        <v>381.667287319422</v>
      </c>
      <c r="M9" s="23" t="n">
        <f aca="false">IFERROR(G9/E9,0)</f>
        <v>0.128665840561751</v>
      </c>
      <c r="N9" s="24" t="n">
        <f aca="false">IFERROR(H9/B9,0)</f>
        <v>4.27003711686227</v>
      </c>
      <c r="O9" s="25" t="n">
        <f aca="false">IFERROR(L9/(Assumptions!$B$5*Assumptions!$B$6),0)</f>
        <v>3.55767419201549</v>
      </c>
      <c r="P9" s="23" t="n">
        <f aca="false">IFERROR(B9/$B$11,0)</f>
        <v>0.335237822823756</v>
      </c>
      <c r="Q9" s="23" t="n">
        <f aca="false">IFERROR(G9/$G$11,0)</f>
        <v>0.202272727272727</v>
      </c>
      <c r="R9" s="8" t="str">
        <f aca="false">IF(O9&gt;Assumptions!$B$9,"Cut",IF(L9&gt;Assumptions!$B$7,"Hold","Fund"))</f>
        <v>Hold</v>
      </c>
    </row>
    <row r="10" customFormat="false" ht="15" hidden="false" customHeight="false" outlineLevel="0" collapsed="false">
      <c r="A10" s="8" t="s">
        <v>82</v>
      </c>
      <c r="B10" s="21" t="n">
        <f aca="false">SUMIF('Raw Data'!$B$2:$B$73,$A10,'Raw Data'!$C$2:$C$73)</f>
        <v>121527.9</v>
      </c>
      <c r="C10" s="18" t="n">
        <f aca="false">SUMIF('Raw Data'!$B$2:$B$73,$A10,'Raw Data'!$D$2:$D$73)</f>
        <v>2311200</v>
      </c>
      <c r="D10" s="18" t="n">
        <f aca="false">SUMIF('Raw Data'!$B$2:$B$73,$A10,'Raw Data'!$E$2:$E$73)</f>
        <v>13968</v>
      </c>
      <c r="E10" s="18" t="n">
        <f aca="false">SUMIF('Raw Data'!$B$2:$B$73,$A10,'Raw Data'!$F$2:$F$73)</f>
        <v>850</v>
      </c>
      <c r="F10" s="18" t="n">
        <f aca="false">SUMIF('Raw Data'!$B$2:$B$73,$A10,'Raw Data'!$G$2:$G$73)</f>
        <v>411</v>
      </c>
      <c r="G10" s="18" t="n">
        <f aca="false">SUMIF('Raw Data'!$B$2:$B$73,$A10,'Raw Data'!$H$2:$H$73)</f>
        <v>131</v>
      </c>
      <c r="H10" s="21" t="n">
        <f aca="false">SUMIF('Raw Data'!$B$2:$B$73,$A10,'Raw Data'!$J$2:$J$73)</f>
        <v>207382.84</v>
      </c>
      <c r="I10" s="22" t="n">
        <f aca="false">IFERROR(D10/C10,0)</f>
        <v>0.00604361370716511</v>
      </c>
      <c r="J10" s="17" t="n">
        <f aca="false">IF(ISNUMBER(MATCH($A10,{"Google Search Ads";"Meta Ads";"LinkedIn Ads"},0)),IFERROR(B10/D10,0),"")</f>
        <v>8.70045103092783</v>
      </c>
      <c r="K10" s="21" t="n">
        <f aca="false">IFERROR(B10/E10,0)</f>
        <v>142.974</v>
      </c>
      <c r="L10" s="21" t="n">
        <f aca="false">IFERROR(B10/G10,0)</f>
        <v>927.693893129771</v>
      </c>
      <c r="M10" s="23" t="n">
        <f aca="false">IFERROR(G10/E10,0)</f>
        <v>0.154117647058824</v>
      </c>
      <c r="N10" s="24" t="n">
        <f aca="false">IFERROR(H10/B10,0)</f>
        <v>1.70646279578599</v>
      </c>
      <c r="O10" s="25" t="n">
        <f aca="false">IFERROR(L10/(Assumptions!$B$5*Assumptions!$B$6),0)</f>
        <v>8.64740765408064</v>
      </c>
      <c r="P10" s="23" t="n">
        <f aca="false">IFERROR(B10/$B$11,0)</f>
        <v>0.171338918000497</v>
      </c>
      <c r="Q10" s="23" t="n">
        <f aca="false">IFERROR(G10/$G$11,0)</f>
        <v>0.0425324675324675</v>
      </c>
      <c r="R10" s="8" t="str">
        <f aca="false">IF(O10&gt;Assumptions!$B$9,"Cut",IF(L10&gt;Assumptions!$B$7,"Hold","Fund"))</f>
        <v>Cut</v>
      </c>
    </row>
    <row r="11" customFormat="false" ht="15" hidden="false" customHeight="false" outlineLevel="0" collapsed="false">
      <c r="A11" s="26" t="s">
        <v>102</v>
      </c>
      <c r="B11" s="27" t="n">
        <f aca="false">SUM(B5:B10)</f>
        <v>709283.69</v>
      </c>
      <c r="C11" s="28" t="n">
        <f aca="false">SUM(C5:C10)</f>
        <v>16014269</v>
      </c>
      <c r="D11" s="28" t="n">
        <f aca="false">SUM(D5:D10)</f>
        <v>291578</v>
      </c>
      <c r="E11" s="28" t="n">
        <f aca="false">SUM(E5:E10)</f>
        <v>21083</v>
      </c>
      <c r="F11" s="28" t="n">
        <f aca="false">SUM(F5:F10)</f>
        <v>10416</v>
      </c>
      <c r="G11" s="28" t="n">
        <f aca="false">SUM(G5:G10)</f>
        <v>3080</v>
      </c>
      <c r="H11" s="27" t="n">
        <f aca="false">SUM(H5:H10)</f>
        <v>4903218.31</v>
      </c>
      <c r="I11" s="29" t="n">
        <f aca="false">IFERROR(D11/C11,0)</f>
        <v>0.0182073874243027</v>
      </c>
      <c r="J11" s="30" t="str">
        <f aca="false">""</f>
        <v/>
      </c>
      <c r="K11" s="27" t="n">
        <f aca="false">IFERROR(B11/E11,0)</f>
        <v>33.6424460465778</v>
      </c>
      <c r="L11" s="27" t="n">
        <f aca="false">IFERROR(B11/G11,0)</f>
        <v>230.286912337662</v>
      </c>
      <c r="M11" s="31" t="n">
        <f aca="false">IFERROR(G11/E11,0)</f>
        <v>0.146089266233458</v>
      </c>
      <c r="N11" s="32" t="n">
        <f aca="false">IFERROR(H11/B11,0)</f>
        <v>6.91291563464543</v>
      </c>
      <c r="O11" s="33" t="n">
        <f aca="false">IFERROR(L11/(Assumptions!$B$5*Assumptions!$B$6),0)</f>
        <v>2.14659687115644</v>
      </c>
      <c r="P11" s="31" t="n">
        <v>1</v>
      </c>
      <c r="Q11" s="31" t="n">
        <v>1</v>
      </c>
      <c r="R11" s="26" t="s">
        <v>103</v>
      </c>
    </row>
    <row r="13" customFormat="false" ht="15" hidden="false" customHeight="false" outlineLevel="0" collapsed="false">
      <c r="A13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5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5" t="s">
        <v>105</v>
      </c>
    </row>
    <row r="2" customFormat="false" ht="15" hidden="false" customHeight="false" outlineLevel="0" collapsed="false">
      <c r="A2" s="6" t="s">
        <v>106</v>
      </c>
    </row>
    <row r="4" customFormat="false" ht="23.85" hidden="false" customHeight="false" outlineLevel="0" collapsed="false">
      <c r="A4" s="19" t="s">
        <v>58</v>
      </c>
      <c r="B4" s="20" t="s">
        <v>88</v>
      </c>
      <c r="C4" s="20" t="s">
        <v>63</v>
      </c>
      <c r="D4" s="20" t="s">
        <v>90</v>
      </c>
      <c r="E4" s="20" t="s">
        <v>91</v>
      </c>
      <c r="F4" s="20" t="s">
        <v>107</v>
      </c>
      <c r="G4" s="20" t="s">
        <v>108</v>
      </c>
      <c r="H4" s="20" t="s">
        <v>109</v>
      </c>
      <c r="I4" s="20" t="s">
        <v>110</v>
      </c>
      <c r="J4" s="20" t="s">
        <v>111</v>
      </c>
    </row>
    <row r="5" customFormat="false" ht="15" hidden="false" customHeight="false" outlineLevel="0" collapsed="false">
      <c r="A5" s="8" t="s">
        <v>68</v>
      </c>
      <c r="B5" s="21" t="n">
        <f aca="false">SUMIF('Raw Data'!$A$2:$A$73,$A5,'Raw Data'!$C$2:$C$73)</f>
        <v>59331.49</v>
      </c>
      <c r="C5" s="18" t="n">
        <f aca="false">SUMIF('Raw Data'!$A$2:$A$73,$A5,'Raw Data'!$F$2:$F$73)</f>
        <v>1837</v>
      </c>
      <c r="D5" s="18" t="n">
        <f aca="false">SUMIF('Raw Data'!$A$2:$A$73,$A5,'Raw Data'!$H$2:$H$73)</f>
        <v>277</v>
      </c>
      <c r="E5" s="21" t="n">
        <f aca="false">SUMIF('Raw Data'!$A$2:$A$73,$A5,'Raw Data'!$J$2:$J$73)</f>
        <v>434552.31</v>
      </c>
      <c r="F5" s="21" t="n">
        <f aca="false">IFERROR(B5/D5,0)</f>
        <v>214.193104693141</v>
      </c>
      <c r="G5" s="24" t="n">
        <f aca="false">IFERROR(E5/B5,0)</f>
        <v>7.32414287927035</v>
      </c>
      <c r="H5" s="23" t="n">
        <f aca="false">IFERROR(F5/AVERAGE($F$5:$F$16)-1,0)</f>
        <v>-0.0788370472981138</v>
      </c>
      <c r="I5" s="21" t="n">
        <f aca="false">IFERROR(AVERAGE(F5:F5),0)</f>
        <v>214.193104693141</v>
      </c>
      <c r="J5" s="8" t="str">
        <f aca="false">IF(H5&gt;0.08,"Expensive - flex budget down",IF(H5&lt;-0.05,"Efficient - lean in","In line"))</f>
        <v>Efficient - lean in</v>
      </c>
    </row>
    <row r="6" customFormat="false" ht="15" hidden="false" customHeight="false" outlineLevel="0" collapsed="false">
      <c r="A6" s="8" t="s">
        <v>70</v>
      </c>
      <c r="B6" s="21" t="n">
        <f aca="false">SUMIF('Raw Data'!$A$2:$A$73,$A6,'Raw Data'!$C$2:$C$73)</f>
        <v>62519.42</v>
      </c>
      <c r="C6" s="18" t="n">
        <f aca="false">SUMIF('Raw Data'!$A$2:$A$73,$A6,'Raw Data'!$F$2:$F$73)</f>
        <v>1831</v>
      </c>
      <c r="D6" s="18" t="n">
        <f aca="false">SUMIF('Raw Data'!$A$2:$A$73,$A6,'Raw Data'!$H$2:$H$73)</f>
        <v>301</v>
      </c>
      <c r="E6" s="21" t="n">
        <f aca="false">SUMIF('Raw Data'!$A$2:$A$73,$A6,'Raw Data'!$J$2:$J$73)</f>
        <v>455552.08</v>
      </c>
      <c r="F6" s="21" t="n">
        <f aca="false">IFERROR(B6/D6,0)</f>
        <v>207.705714285714</v>
      </c>
      <c r="G6" s="24" t="n">
        <f aca="false">IFERROR(E6/B6,0)</f>
        <v>7.28656919721904</v>
      </c>
      <c r="H6" s="23" t="n">
        <f aca="false">IFERROR(F6/AVERAGE($F$5:$F$16)-1,0)</f>
        <v>-0.106736842259283</v>
      </c>
      <c r="I6" s="21" t="n">
        <f aca="false">IFERROR(AVERAGE(F5:F6),0)</f>
        <v>210.949409489428</v>
      </c>
      <c r="J6" s="8" t="str">
        <f aca="false">IF(H6&gt;0.08,"Expensive - flex budget down",IF(H6&lt;-0.05,"Efficient - lean in","In line"))</f>
        <v>Efficient - lean in</v>
      </c>
    </row>
    <row r="7" customFormat="false" ht="15" hidden="false" customHeight="false" outlineLevel="0" collapsed="false">
      <c r="A7" s="8" t="s">
        <v>71</v>
      </c>
      <c r="B7" s="21" t="n">
        <f aca="false">SUMIF('Raw Data'!$A$2:$A$73,$A7,'Raw Data'!$C$2:$C$73)</f>
        <v>59070.71</v>
      </c>
      <c r="C7" s="18" t="n">
        <f aca="false">SUMIF('Raw Data'!$A$2:$A$73,$A7,'Raw Data'!$F$2:$F$73)</f>
        <v>1772</v>
      </c>
      <c r="D7" s="18" t="n">
        <f aca="false">SUMIF('Raw Data'!$A$2:$A$73,$A7,'Raw Data'!$H$2:$H$73)</f>
        <v>263</v>
      </c>
      <c r="E7" s="21" t="n">
        <f aca="false">SUMIF('Raw Data'!$A$2:$A$73,$A7,'Raw Data'!$J$2:$J$73)</f>
        <v>425646.71</v>
      </c>
      <c r="F7" s="21" t="n">
        <f aca="false">IFERROR(B7/D7,0)</f>
        <v>224.603460076046</v>
      </c>
      <c r="G7" s="24" t="n">
        <f aca="false">IFERROR(E7/B7,0)</f>
        <v>7.20571515053738</v>
      </c>
      <c r="H7" s="23" t="n">
        <f aca="false">IFERROR(F7/AVERAGE($F$5:$F$16)-1,0)</f>
        <v>-0.0340660743159024</v>
      </c>
      <c r="I7" s="21" t="n">
        <f aca="false">IFERROR(AVERAGE(F5:F7),0)</f>
        <v>215.500759684967</v>
      </c>
      <c r="J7" s="8" t="str">
        <f aca="false">IF(H7&gt;0.08,"Expensive - flex budget down",IF(H7&lt;-0.05,"Efficient - lean in","In line"))</f>
        <v>In line</v>
      </c>
    </row>
    <row r="8" customFormat="false" ht="15" hidden="false" customHeight="false" outlineLevel="0" collapsed="false">
      <c r="A8" s="8" t="s">
        <v>72</v>
      </c>
      <c r="B8" s="21" t="n">
        <f aca="false">SUMIF('Raw Data'!$A$2:$A$73,$A8,'Raw Data'!$C$2:$C$73)</f>
        <v>58831.63</v>
      </c>
      <c r="C8" s="18" t="n">
        <f aca="false">SUMIF('Raw Data'!$A$2:$A$73,$A8,'Raw Data'!$F$2:$F$73)</f>
        <v>1743</v>
      </c>
      <c r="D8" s="18" t="n">
        <f aca="false">SUMIF('Raw Data'!$A$2:$A$73,$A8,'Raw Data'!$H$2:$H$73)</f>
        <v>214</v>
      </c>
      <c r="E8" s="21" t="n">
        <f aca="false">SUMIF('Raw Data'!$A$2:$A$73,$A8,'Raw Data'!$J$2:$J$73)</f>
        <v>347948.52</v>
      </c>
      <c r="F8" s="21" t="n">
        <f aca="false">IFERROR(B8/D8,0)</f>
        <v>274.914158878505</v>
      </c>
      <c r="G8" s="24" t="n">
        <f aca="false">IFERROR(E8/B8,0)</f>
        <v>5.91431038031753</v>
      </c>
      <c r="H8" s="23" t="n">
        <f aca="false">IFERROR(F8/AVERAGE($F$5:$F$16)-1,0)</f>
        <v>0.182301076847823</v>
      </c>
      <c r="I8" s="21" t="n">
        <f aca="false">IFERROR(AVERAGE(F6:F8),0)</f>
        <v>235.741111080088</v>
      </c>
      <c r="J8" s="8" t="str">
        <f aca="false">IF(H8&gt;0.08,"Expensive - flex budget down",IF(H8&lt;-0.05,"Efficient - lean in","In line"))</f>
        <v>Expensive - flex budget down</v>
      </c>
    </row>
    <row r="9" customFormat="false" ht="15" hidden="false" customHeight="false" outlineLevel="0" collapsed="false">
      <c r="A9" s="8" t="s">
        <v>73</v>
      </c>
      <c r="B9" s="21" t="n">
        <f aca="false">SUMIF('Raw Data'!$A$2:$A$73,$A9,'Raw Data'!$C$2:$C$73)</f>
        <v>58608.33</v>
      </c>
      <c r="C9" s="18" t="n">
        <f aca="false">SUMIF('Raw Data'!$A$2:$A$73,$A9,'Raw Data'!$F$2:$F$73)</f>
        <v>1581</v>
      </c>
      <c r="D9" s="18" t="n">
        <f aca="false">SUMIF('Raw Data'!$A$2:$A$73,$A9,'Raw Data'!$H$2:$H$73)</f>
        <v>227</v>
      </c>
      <c r="E9" s="21" t="n">
        <f aca="false">SUMIF('Raw Data'!$A$2:$A$73,$A9,'Raw Data'!$J$2:$J$73)</f>
        <v>375309.68</v>
      </c>
      <c r="F9" s="21" t="n">
        <f aca="false">IFERROR(B9/D9,0)</f>
        <v>258.186475770925</v>
      </c>
      <c r="G9" s="24" t="n">
        <f aca="false">IFERROR(E9/B9,0)</f>
        <v>6.40369176190484</v>
      </c>
      <c r="H9" s="23" t="n">
        <f aca="false">IFERROR(F9/AVERAGE($F$5:$F$16)-1,0)</f>
        <v>0.110361683722565</v>
      </c>
      <c r="I9" s="21" t="n">
        <f aca="false">IFERROR(AVERAGE(F7:F9),0)</f>
        <v>252.568031575158</v>
      </c>
      <c r="J9" s="8" t="str">
        <f aca="false">IF(H9&gt;0.08,"Expensive - flex budget down",IF(H9&lt;-0.05,"Efficient - lean in","In line"))</f>
        <v>Expensive - flex budget down</v>
      </c>
    </row>
    <row r="10" customFormat="false" ht="15" hidden="false" customHeight="false" outlineLevel="0" collapsed="false">
      <c r="A10" s="8" t="s">
        <v>74</v>
      </c>
      <c r="B10" s="21" t="n">
        <f aca="false">SUMIF('Raw Data'!$A$2:$A$73,$A10,'Raw Data'!$C$2:$C$73)</f>
        <v>54666.1</v>
      </c>
      <c r="C10" s="18" t="n">
        <f aca="false">SUMIF('Raw Data'!$A$2:$A$73,$A10,'Raw Data'!$F$2:$F$73)</f>
        <v>1697</v>
      </c>
      <c r="D10" s="18" t="n">
        <f aca="false">SUMIF('Raw Data'!$A$2:$A$73,$A10,'Raw Data'!$H$2:$H$73)</f>
        <v>247</v>
      </c>
      <c r="E10" s="21" t="n">
        <f aca="false">SUMIF('Raw Data'!$A$2:$A$73,$A10,'Raw Data'!$J$2:$J$73)</f>
        <v>397076.85</v>
      </c>
      <c r="F10" s="21" t="n">
        <f aca="false">IFERROR(B10/D10,0)</f>
        <v>221.32024291498</v>
      </c>
      <c r="G10" s="24" t="n">
        <f aca="false">IFERROR(E10/B10,0)</f>
        <v>7.26367620883875</v>
      </c>
      <c r="H10" s="23" t="n">
        <f aca="false">IFERROR(F10/AVERAGE($F$5:$F$16)-1,0)</f>
        <v>-0.0481859406803297</v>
      </c>
      <c r="I10" s="21" t="n">
        <f aca="false">IFERROR(AVERAGE(F8:F10),0)</f>
        <v>251.473625854803</v>
      </c>
      <c r="J10" s="8" t="str">
        <f aca="false">IF(H10&gt;0.08,"Expensive - flex budget down",IF(H10&lt;-0.05,"Efficient - lean in","In line"))</f>
        <v>In line</v>
      </c>
    </row>
    <row r="11" customFormat="false" ht="15" hidden="false" customHeight="false" outlineLevel="0" collapsed="false">
      <c r="A11" s="8" t="s">
        <v>75</v>
      </c>
      <c r="B11" s="21" t="n">
        <f aca="false">SUMIF('Raw Data'!$A$2:$A$73,$A11,'Raw Data'!$C$2:$C$73)</f>
        <v>55169.78</v>
      </c>
      <c r="C11" s="18" t="n">
        <f aca="false">SUMIF('Raw Data'!$A$2:$A$73,$A11,'Raw Data'!$F$2:$F$73)</f>
        <v>1551</v>
      </c>
      <c r="D11" s="18" t="n">
        <f aca="false">SUMIF('Raw Data'!$A$2:$A$73,$A11,'Raw Data'!$H$2:$H$73)</f>
        <v>229</v>
      </c>
      <c r="E11" s="21" t="n">
        <f aca="false">SUMIF('Raw Data'!$A$2:$A$73,$A11,'Raw Data'!$J$2:$J$73)</f>
        <v>366140.99</v>
      </c>
      <c r="F11" s="21" t="n">
        <f aca="false">IFERROR(B11/D11,0)</f>
        <v>240.916069868996</v>
      </c>
      <c r="G11" s="24" t="n">
        <f aca="false">IFERROR(E11/B11,0)</f>
        <v>6.63662225950511</v>
      </c>
      <c r="H11" s="23" t="n">
        <f aca="false">IFERROR(F11/AVERAGE($F$5:$F$16)-1,0)</f>
        <v>0.0360882465931438</v>
      </c>
      <c r="I11" s="21" t="n">
        <f aca="false">IFERROR(AVERAGE(F9:F11),0)</f>
        <v>240.1409295183</v>
      </c>
      <c r="J11" s="8" t="str">
        <f aca="false">IF(H11&gt;0.08,"Expensive - flex budget down",IF(H11&lt;-0.05,"Efficient - lean in","In line"))</f>
        <v>In line</v>
      </c>
    </row>
    <row r="12" customFormat="false" ht="15" hidden="false" customHeight="false" outlineLevel="0" collapsed="false">
      <c r="A12" s="8" t="s">
        <v>76</v>
      </c>
      <c r="B12" s="21" t="n">
        <f aca="false">SUMIF('Raw Data'!$A$2:$A$73,$A12,'Raw Data'!$C$2:$C$73)</f>
        <v>51789.49</v>
      </c>
      <c r="C12" s="18" t="n">
        <f aca="false">SUMIF('Raw Data'!$A$2:$A$73,$A12,'Raw Data'!$F$2:$F$73)</f>
        <v>1491</v>
      </c>
      <c r="D12" s="18" t="n">
        <f aca="false">SUMIF('Raw Data'!$A$2:$A$73,$A12,'Raw Data'!$H$2:$H$73)</f>
        <v>227</v>
      </c>
      <c r="E12" s="21" t="n">
        <f aca="false">SUMIF('Raw Data'!$A$2:$A$73,$A12,'Raw Data'!$J$2:$J$73)</f>
        <v>353277.8</v>
      </c>
      <c r="F12" s="21" t="n">
        <f aca="false">IFERROR(B12/D12,0)</f>
        <v>228.147533039648</v>
      </c>
      <c r="G12" s="24" t="n">
        <f aca="false">IFERROR(E12/B12,0)</f>
        <v>6.82141878593514</v>
      </c>
      <c r="H12" s="23" t="n">
        <f aca="false">IFERROR(F12/AVERAGE($F$5:$F$16)-1,0)</f>
        <v>-0.0188243665101374</v>
      </c>
      <c r="I12" s="21" t="n">
        <f aca="false">IFERROR(AVERAGE(F10:F12),0)</f>
        <v>230.127948607874</v>
      </c>
      <c r="J12" s="8" t="str">
        <f aca="false">IF(H12&gt;0.08,"Expensive - flex budget down",IF(H12&lt;-0.05,"Efficient - lean in","In line"))</f>
        <v>In line</v>
      </c>
    </row>
    <row r="13" customFormat="false" ht="15" hidden="false" customHeight="false" outlineLevel="0" collapsed="false">
      <c r="A13" s="8" t="s">
        <v>77</v>
      </c>
      <c r="B13" s="21" t="n">
        <f aca="false">SUMIF('Raw Data'!$A$2:$A$73,$A13,'Raw Data'!$C$2:$C$73)</f>
        <v>54838.53</v>
      </c>
      <c r="C13" s="18" t="n">
        <f aca="false">SUMIF('Raw Data'!$A$2:$A$73,$A13,'Raw Data'!$F$2:$F$73)</f>
        <v>1589</v>
      </c>
      <c r="D13" s="18" t="n">
        <f aca="false">SUMIF('Raw Data'!$A$2:$A$73,$A13,'Raw Data'!$H$2:$H$73)</f>
        <v>228</v>
      </c>
      <c r="E13" s="21" t="n">
        <f aca="false">SUMIF('Raw Data'!$A$2:$A$73,$A13,'Raw Data'!$J$2:$J$73)</f>
        <v>353275.69</v>
      </c>
      <c r="F13" s="21" t="n">
        <f aca="false">IFERROR(B13/D13,0)</f>
        <v>240.519868421053</v>
      </c>
      <c r="G13" s="24" t="n">
        <f aca="false">IFERROR(E13/B13,0)</f>
        <v>6.44210721913954</v>
      </c>
      <c r="H13" s="23" t="n">
        <f aca="false">IFERROR(F13/AVERAGE($F$5:$F$16)-1,0)</f>
        <v>0.0343843350868665</v>
      </c>
      <c r="I13" s="21" t="n">
        <f aca="false">IFERROR(AVERAGE(F11:F13),0)</f>
        <v>236.527823776565</v>
      </c>
      <c r="J13" s="8" t="str">
        <f aca="false">IF(H13&gt;0.08,"Expensive - flex budget down",IF(H13&lt;-0.05,"Efficient - lean in","In line"))</f>
        <v>In line</v>
      </c>
    </row>
    <row r="14" customFormat="false" ht="15" hidden="false" customHeight="false" outlineLevel="0" collapsed="false">
      <c r="A14" s="8" t="s">
        <v>78</v>
      </c>
      <c r="B14" s="21" t="n">
        <f aca="false">SUMIF('Raw Data'!$A$2:$A$73,$A14,'Raw Data'!$C$2:$C$73)</f>
        <v>58499.69</v>
      </c>
      <c r="C14" s="18" t="n">
        <f aca="false">SUMIF('Raw Data'!$A$2:$A$73,$A14,'Raw Data'!$F$2:$F$73)</f>
        <v>1661</v>
      </c>
      <c r="D14" s="18" t="n">
        <f aca="false">SUMIF('Raw Data'!$A$2:$A$73,$A14,'Raw Data'!$H$2:$H$73)</f>
        <v>243</v>
      </c>
      <c r="E14" s="21" t="n">
        <f aca="false">SUMIF('Raw Data'!$A$2:$A$73,$A14,'Raw Data'!$J$2:$J$73)</f>
        <v>375685.91</v>
      </c>
      <c r="F14" s="21" t="n">
        <f aca="false">IFERROR(B14/D14,0)</f>
        <v>240.739465020576</v>
      </c>
      <c r="G14" s="24" t="n">
        <f aca="false">IFERROR(E14/B14,0)</f>
        <v>6.42201539871408</v>
      </c>
      <c r="H14" s="23" t="n">
        <f aca="false">IFERROR(F14/AVERAGE($F$5:$F$16)-1,0)</f>
        <v>0.0353287364125308</v>
      </c>
      <c r="I14" s="21" t="n">
        <f aca="false">IFERROR(AVERAGE(F12:F14),0)</f>
        <v>236.468955493759</v>
      </c>
      <c r="J14" s="8" t="str">
        <f aca="false">IF(H14&gt;0.08,"Expensive - flex budget down",IF(H14&lt;-0.05,"Efficient - lean in","In line"))</f>
        <v>In line</v>
      </c>
    </row>
    <row r="15" customFormat="false" ht="15" hidden="false" customHeight="false" outlineLevel="0" collapsed="false">
      <c r="A15" s="8" t="s">
        <v>79</v>
      </c>
      <c r="B15" s="21" t="n">
        <f aca="false">SUMIF('Raw Data'!$A$2:$A$73,$A15,'Raw Data'!$C$2:$C$73)</f>
        <v>65951.51</v>
      </c>
      <c r="C15" s="18" t="n">
        <f aca="false">SUMIF('Raw Data'!$A$2:$A$73,$A15,'Raw Data'!$F$2:$F$73)</f>
        <v>1903</v>
      </c>
      <c r="D15" s="18" t="n">
        <f aca="false">SUMIF('Raw Data'!$A$2:$A$73,$A15,'Raw Data'!$H$2:$H$73)</f>
        <v>280</v>
      </c>
      <c r="E15" s="21" t="n">
        <f aca="false">SUMIF('Raw Data'!$A$2:$A$73,$A15,'Raw Data'!$J$2:$J$73)</f>
        <v>472613.01</v>
      </c>
      <c r="F15" s="21" t="n">
        <f aca="false">IFERROR(B15/D15,0)</f>
        <v>235.541107142857</v>
      </c>
      <c r="G15" s="24" t="n">
        <f aca="false">IFERROR(E15/B15,0)</f>
        <v>7.16606807031408</v>
      </c>
      <c r="H15" s="23" t="n">
        <f aca="false">IFERROR(F15/AVERAGE($F$5:$F$16)-1,0)</f>
        <v>0.0129725793424844</v>
      </c>
      <c r="I15" s="21" t="n">
        <f aca="false">IFERROR(AVERAGE(F13:F15),0)</f>
        <v>238.933480194829</v>
      </c>
      <c r="J15" s="8" t="str">
        <f aca="false">IF(H15&gt;0.08,"Expensive - flex budget down",IF(H15&lt;-0.05,"Efficient - lean in","In line"))</f>
        <v>In line</v>
      </c>
    </row>
    <row r="16" customFormat="false" ht="15" hidden="false" customHeight="false" outlineLevel="0" collapsed="false">
      <c r="A16" s="8" t="s">
        <v>80</v>
      </c>
      <c r="B16" s="21" t="n">
        <f aca="false">SUMIF('Raw Data'!$A$2:$A$73,$A16,'Raw Data'!$C$2:$C$73)</f>
        <v>70007.01</v>
      </c>
      <c r="C16" s="18" t="n">
        <f aca="false">SUMIF('Raw Data'!$A$2:$A$73,$A16,'Raw Data'!$F$2:$F$73)</f>
        <v>2427</v>
      </c>
      <c r="D16" s="18" t="n">
        <f aca="false">SUMIF('Raw Data'!$A$2:$A$73,$A16,'Raw Data'!$H$2:$H$73)</f>
        <v>344</v>
      </c>
      <c r="E16" s="21" t="n">
        <f aca="false">SUMIF('Raw Data'!$A$2:$A$73,$A16,'Raw Data'!$J$2:$J$73)</f>
        <v>546138.76</v>
      </c>
      <c r="F16" s="21" t="n">
        <f aca="false">IFERROR(B16/D16,0)</f>
        <v>203.50875</v>
      </c>
      <c r="G16" s="24" t="n">
        <f aca="false">IFERROR(E16/B16,0)</f>
        <v>7.80120105115188</v>
      </c>
      <c r="H16" s="23" t="n">
        <f aca="false">IFERROR(F16/AVERAGE($F$5:$F$16)-1,0)</f>
        <v>-0.124786386941646</v>
      </c>
      <c r="I16" s="21" t="n">
        <f aca="false">IFERROR(AVERAGE(F14:F16),0)</f>
        <v>226.596440721144</v>
      </c>
      <c r="J16" s="8" t="str">
        <f aca="false">IF(H16&gt;0.08,"Expensive - flex budget down",IF(H16&lt;-0.05,"Efficient - lean in","In line"))</f>
        <v>Efficient - lean in</v>
      </c>
    </row>
    <row r="17" customFormat="false" ht="15" hidden="false" customHeight="false" outlineLevel="0" collapsed="false">
      <c r="A17" s="26" t="s">
        <v>112</v>
      </c>
      <c r="B17" s="27" t="n">
        <f aca="false">SUM(B5:B16)</f>
        <v>709283.69</v>
      </c>
      <c r="C17" s="28" t="n">
        <f aca="false">SUM(C5:C16)</f>
        <v>21083</v>
      </c>
      <c r="D17" s="28" t="n">
        <f aca="false">SUM(D5:D16)</f>
        <v>3080</v>
      </c>
      <c r="E17" s="27" t="n">
        <f aca="false">SUM(E5:E16)</f>
        <v>4903218.31</v>
      </c>
      <c r="F17" s="27" t="n">
        <f aca="false">IFERROR(B17/D17,0)</f>
        <v>230.286912337662</v>
      </c>
      <c r="G17" s="32" t="n">
        <f aca="false">IFERROR(E17/B17,0)</f>
        <v>6.91291563464543</v>
      </c>
      <c r="H17" s="31"/>
      <c r="I17" s="27"/>
      <c r="J1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6"/>
  </cols>
  <sheetData>
    <row r="1" customFormat="false" ht="16.15" hidden="false" customHeight="false" outlineLevel="0" collapsed="false">
      <c r="A1" s="5" t="s">
        <v>113</v>
      </c>
    </row>
    <row r="2" customFormat="false" ht="15" hidden="false" customHeight="false" outlineLevel="0" collapsed="false">
      <c r="A2" s="6" t="s">
        <v>114</v>
      </c>
    </row>
    <row r="4" customFormat="false" ht="15" hidden="false" customHeight="false" outlineLevel="0" collapsed="false">
      <c r="A4" s="7" t="s">
        <v>115</v>
      </c>
      <c r="B4" s="7" t="s">
        <v>24</v>
      </c>
    </row>
    <row r="5" customFormat="false" ht="15" hidden="false" customHeight="false" outlineLevel="0" collapsed="false">
      <c r="A5" s="8" t="s">
        <v>116</v>
      </c>
      <c r="B5" s="34" t="str">
        <f aca="false">INDEX('Channel Summary'!$A$5:$A$10,MATCH(MAX('Channel Summary'!$L$5:$L$10),'Channel Summary'!$L$5:$L$10,0))</f>
        <v>LinkedIn Ads</v>
      </c>
    </row>
    <row r="6" customFormat="false" ht="15" hidden="false" customHeight="false" outlineLevel="0" collapsed="false">
      <c r="A6" s="8" t="s">
        <v>117</v>
      </c>
      <c r="B6" s="35" t="n">
        <f aca="false">INDEX('Channel Summary'!$B$5:$B$10,MATCH($B$5,'Channel Summary'!$A$5:$A$10,0))</f>
        <v>121527.9</v>
      </c>
    </row>
    <row r="7" customFormat="false" ht="15" hidden="false" customHeight="false" outlineLevel="0" collapsed="false">
      <c r="A7" s="8" t="s">
        <v>118</v>
      </c>
      <c r="B7" s="35" t="n">
        <f aca="false">INDEX('Channel Summary'!$L$5:$L$10,MATCH($B$5,'Channel Summary'!$A$5:$A$10,0))</f>
        <v>927.693893129771</v>
      </c>
    </row>
    <row r="8" customFormat="false" ht="15" hidden="false" customHeight="false" outlineLevel="0" collapsed="false">
      <c r="A8" s="8" t="s">
        <v>119</v>
      </c>
      <c r="B8" s="35" t="n">
        <f aca="false">$B$6*Assumptions!$B$12</f>
        <v>72916.74</v>
      </c>
    </row>
    <row r="9" customFormat="false" ht="15" hidden="false" customHeight="false" outlineLevel="0" collapsed="false">
      <c r="A9" s="8" t="s">
        <v>120</v>
      </c>
      <c r="B9" s="36" t="n">
        <f aca="false">IFERROR($B$8/$B$7,0)</f>
        <v>78.6</v>
      </c>
    </row>
    <row r="12" customFormat="false" ht="23.85" hidden="false" customHeight="false" outlineLevel="0" collapsed="false">
      <c r="A12" s="19" t="s">
        <v>121</v>
      </c>
      <c r="B12" s="20" t="s">
        <v>122</v>
      </c>
      <c r="C12" s="20" t="s">
        <v>123</v>
      </c>
      <c r="D12" s="20" t="s">
        <v>124</v>
      </c>
      <c r="E12" s="20" t="s">
        <v>125</v>
      </c>
      <c r="F12" s="20" t="s">
        <v>126</v>
      </c>
      <c r="G12" s="20" t="s">
        <v>127</v>
      </c>
      <c r="H12" s="20" t="s">
        <v>128</v>
      </c>
      <c r="I12" s="20" t="s">
        <v>129</v>
      </c>
    </row>
    <row r="13" customFormat="false" ht="15" hidden="false" customHeight="false" outlineLevel="0" collapsed="false">
      <c r="A13" s="8" t="s">
        <v>85</v>
      </c>
      <c r="B13" s="21" t="n">
        <f aca="false">$B$8*Assumptions!$B$19</f>
        <v>43750.044</v>
      </c>
      <c r="C13" s="21" t="n">
        <f aca="false">INDEX('Channel Summary'!$L$5:$L$10,MATCH($A13,'Channel Summary'!$A$5:$A$10,0))</f>
        <v>87.1326906779661</v>
      </c>
      <c r="D13" s="37" t="n">
        <f aca="false">Assumptions!$B$13</f>
        <v>2.5</v>
      </c>
      <c r="E13" s="21" t="n">
        <f aca="false">C13*D13</f>
        <v>217.831726694915</v>
      </c>
      <c r="F13" s="38" t="n">
        <f aca="false">IFERROR(B13/E13,0)</f>
        <v>200.843305352274</v>
      </c>
      <c r="G13" s="38" t="n">
        <f aca="false">INDEX('Channel Summary'!$G$5:$G$10,MATCH($A13,'Channel Summary'!$A$5:$A$10,0))*Assumptions!$B$16</f>
        <v>330.4</v>
      </c>
      <c r="H13" s="38" t="n">
        <f aca="false">MIN(F13,G13)</f>
        <v>200.843305352274</v>
      </c>
      <c r="I13" s="8" t="str">
        <f aca="false">IF(F13&gt;G13,"Yes - capped","No")</f>
        <v>No</v>
      </c>
    </row>
    <row r="14" customFormat="false" ht="15" hidden="false" customHeight="false" outlineLevel="0" collapsed="false">
      <c r="A14" s="8" t="s">
        <v>84</v>
      </c>
      <c r="B14" s="21" t="n">
        <f aca="false">$B$8*Assumptions!$B$20</f>
        <v>10937.511</v>
      </c>
      <c r="C14" s="21" t="n">
        <f aca="false">INDEX('Channel Summary'!$L$5:$L$10,MATCH($A14,'Channel Summary'!$A$5:$A$10,0))</f>
        <v>47.9256204379562</v>
      </c>
      <c r="D14" s="37" t="n">
        <f aca="false">Assumptions!$B$14</f>
        <v>3.6</v>
      </c>
      <c r="E14" s="21" t="n">
        <f aca="false">C14*D14</f>
        <v>172.532233576642</v>
      </c>
      <c r="F14" s="38" t="n">
        <f aca="false">IFERROR(B14/E14,0)</f>
        <v>63.3940149806345</v>
      </c>
      <c r="G14" s="38" t="n">
        <f aca="false">INDEX('Channel Summary'!$G$5:$G$10,MATCH($A14,'Channel Summary'!$A$5:$A$10,0))*Assumptions!$B$17</f>
        <v>61.65</v>
      </c>
      <c r="H14" s="38" t="n">
        <f aca="false">MIN(F14,G14)</f>
        <v>61.65</v>
      </c>
      <c r="I14" s="8" t="str">
        <f aca="false">IF(F14&gt;G14,"Yes - capped","No")</f>
        <v>Yes - capped</v>
      </c>
    </row>
    <row r="15" customFormat="false" ht="15" hidden="false" customHeight="false" outlineLevel="0" collapsed="false">
      <c r="A15" s="8" t="s">
        <v>83</v>
      </c>
      <c r="B15" s="21" t="n">
        <f aca="false">$B$8*Assumptions!$B$21</f>
        <v>18229.185</v>
      </c>
      <c r="C15" s="21" t="n">
        <f aca="false">INDEX('Channel Summary'!$L$5:$L$10,MATCH($A15,'Channel Summary'!$A$5:$A$10,0))</f>
        <v>133.157222222222</v>
      </c>
      <c r="D15" s="37" t="n">
        <f aca="false">Assumptions!$B$15</f>
        <v>3</v>
      </c>
      <c r="E15" s="21" t="n">
        <f aca="false">C15*D15</f>
        <v>399.471666666667</v>
      </c>
      <c r="F15" s="38" t="n">
        <f aca="false">IFERROR(B15/E15,0)</f>
        <v>45.6332363997447</v>
      </c>
      <c r="G15" s="38" t="n">
        <f aca="false">INDEX('Channel Summary'!$G$5:$G$10,MATCH($A15,'Channel Summary'!$A$5:$A$10,0))*Assumptions!$B$18</f>
        <v>86.4</v>
      </c>
      <c r="H15" s="38" t="n">
        <f aca="false">MIN(F15,G15)</f>
        <v>45.6332363997447</v>
      </c>
      <c r="I15" s="8" t="str">
        <f aca="false">IF(F15&gt;G15,"Yes - capped","No")</f>
        <v>No</v>
      </c>
    </row>
    <row r="16" customFormat="false" ht="15" hidden="false" customHeight="false" outlineLevel="0" collapsed="false">
      <c r="A16" s="26" t="s">
        <v>130</v>
      </c>
      <c r="B16" s="27" t="n">
        <f aca="false">SUM(B13:B15)</f>
        <v>72916.74</v>
      </c>
      <c r="C16" s="26"/>
      <c r="D16" s="26"/>
      <c r="E16" s="26"/>
      <c r="F16" s="26"/>
      <c r="G16" s="26"/>
      <c r="H16" s="39" t="n">
        <f aca="false">SUM(H13:H15)</f>
        <v>308.126541752019</v>
      </c>
      <c r="I16" s="26"/>
    </row>
    <row r="18" customFormat="false" ht="15" hidden="false" customHeight="false" outlineLevel="0" collapsed="false">
      <c r="A18" s="8" t="s">
        <v>131</v>
      </c>
      <c r="B18" s="38" t="n">
        <f aca="false">H16</f>
        <v>308.126541752019</v>
      </c>
    </row>
    <row r="19" customFormat="false" ht="15" hidden="false" customHeight="false" outlineLevel="0" collapsed="false">
      <c r="A19" s="8" t="s">
        <v>132</v>
      </c>
      <c r="B19" s="38" t="n">
        <f aca="false">-$B$9</f>
        <v>-78.6</v>
      </c>
    </row>
    <row r="20" customFormat="false" ht="15" hidden="false" customHeight="false" outlineLevel="0" collapsed="false">
      <c r="A20" s="40" t="s">
        <v>133</v>
      </c>
      <c r="B20" s="41" t="n">
        <f aca="false">B18+B19</f>
        <v>229.526541752019</v>
      </c>
    </row>
    <row r="21" customFormat="false" ht="15" hidden="false" customHeight="false" outlineLevel="0" collapsed="false">
      <c r="A21" s="8" t="s">
        <v>134</v>
      </c>
      <c r="B21" s="21" t="n">
        <f aca="false">B20*Assumptions!$B$5</f>
        <v>34199.4547210508</v>
      </c>
    </row>
    <row r="22" customFormat="false" ht="15" hidden="false" customHeight="false" outlineLevel="0" collapsed="false">
      <c r="A22" s="8" t="s">
        <v>135</v>
      </c>
      <c r="B22" s="21" t="n">
        <f aca="false">B21*12*Assumptions!$B$22</f>
        <v>361146.241854297</v>
      </c>
    </row>
    <row r="23" customFormat="false" ht="15" hidden="false" customHeight="false" outlineLevel="0" collapsed="false">
      <c r="A23" s="8" t="s">
        <v>136</v>
      </c>
      <c r="B23" s="21" t="n">
        <f aca="false">'Channel Summary'!$L$11</f>
        <v>230.286912337662</v>
      </c>
    </row>
    <row r="24" customFormat="false" ht="15" hidden="false" customHeight="false" outlineLevel="0" collapsed="false">
      <c r="A24" s="8" t="s">
        <v>137</v>
      </c>
      <c r="B24" s="21" t="n">
        <f aca="false">IFERROR('Channel Summary'!$B$11/('Channel Summary'!$G$11+B20),0)</f>
        <v>214.315758176248</v>
      </c>
    </row>
    <row r="25" customFormat="false" ht="15" hidden="false" customHeight="false" outlineLevel="0" collapsed="false">
      <c r="A25" s="2" t="s">
        <v>138</v>
      </c>
      <c r="B25" s="42" t="n">
        <f aca="false">IFERROR(B24/B23-1,0)</f>
        <v>-0.069353286295299</v>
      </c>
    </row>
    <row r="27" customFormat="false" ht="15" hidden="false" customHeight="false" outlineLevel="0" collapsed="false">
      <c r="A27" s="6" t="s">
        <v>139</v>
      </c>
    </row>
    <row r="28" customFormat="false" ht="15" hidden="false" customHeight="false" outlineLevel="0" collapsed="false">
      <c r="A28" s="6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2026-08-03T20:25:03Z</dcterms:created>
  <dc:creator>openpyxl</dc:creator>
  <dc:description/>
  <dc:language>en-US</dc:language>
  <cp:lastModifiedBy/>
  <dcterms:modified xsi:type="dcterms:W3CDTF">2026-08-03T20:25:03Z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